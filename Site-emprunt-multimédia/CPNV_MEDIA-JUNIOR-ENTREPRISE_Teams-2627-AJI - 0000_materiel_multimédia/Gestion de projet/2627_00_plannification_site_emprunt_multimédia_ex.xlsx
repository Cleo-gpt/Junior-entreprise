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codeName="ThisWorkbook" defaultThemeVersion="166925"/>
  <mc:AlternateContent xmlns:mc="http://schemas.openxmlformats.org/markup-compatibility/2006">
    <mc:Choice Requires="x15">
      <x15ac:absPath xmlns:x15ac="http://schemas.microsoft.com/office/spreadsheetml/2010/11/ac" url="https://eduvaud.sharepoint.com/sites/CPNV_MEDIA-JUNIOR-ENTREPRISE_Teams-2526-AJI/Documents partages/2627_00_Materiel_Multimédia/Gestion de projet/"/>
    </mc:Choice>
  </mc:AlternateContent>
  <xr:revisionPtr revIDLastSave="77" documentId="8_{674C794A-CEA8-9A41-8ABB-6C4D56813BD1}" xr6:coauthVersionLast="47" xr6:coauthVersionMax="47" xr10:uidLastSave="{7F83E6AA-7EF7-7E47-94FD-1151A333F2D0}"/>
  <bookViews>
    <workbookView minimized="1" xWindow="2980" yWindow="2720" windowWidth="31220" windowHeight="17580" tabRatio="697" activeTab="4" xr2:uid="{1F4898CD-21D0-4507-8500-B5A48A0F8004}"/>
  </bookViews>
  <sheets>
    <sheet name="Marche à suivre" sheetId="8" r:id="rId1"/>
    <sheet name="Organigramme des tâches" sheetId="5" r:id="rId2"/>
    <sheet name="Ressources" sheetId="9" r:id="rId3"/>
    <sheet name="Planning initial - 5" sheetId="6" r:id="rId4"/>
    <sheet name="Journal de bord" sheetId="1" r:id="rId5"/>
    <sheet name="Suivi" sheetId="2" r:id="rId6"/>
    <sheet name="Aide-astuces Excel" sheetId="3" r:id="rId7"/>
    <sheet name="Attention" sheetId="11" r:id="rId8"/>
  </sheets>
  <definedNames>
    <definedName name="Charge_travail">'Planning initial - 5'!$D$13:$D$42</definedName>
    <definedName name="Creer_organi">'Marche à suivre'!$A$7</definedName>
    <definedName name="impression">'Marche à suivre'!$A$70</definedName>
    <definedName name="_xlnm.Print_Titles" localSheetId="3">'Planning initial - 5'!$A:$M,'Planning initial - 5'!$2:$12</definedName>
    <definedName name="JB">'Marche à suivre'!$A$50</definedName>
    <definedName name="Microplanning">'Marche à suivre'!$A$62</definedName>
    <definedName name="Organigramme">'Marche à suivre'!$A$7</definedName>
    <definedName name="Planning">'Marche à suivre'!$A$23</definedName>
    <definedName name="Ressources">'Marche à suivre'!$A$20</definedName>
    <definedName name="Suivi">'Marche à suivre'!$A$64</definedName>
    <definedName name="Taches_principales">Suivi!$A$32:$A$41</definedName>
    <definedName name="TP_1">Suivi!$A$8:$A$21</definedName>
    <definedName name="TP_10">Suivi!$S$8:$S$21</definedName>
    <definedName name="TP_2">Suivi!$C$8:$C$21</definedName>
    <definedName name="TP_3">Suivi!$E$8:$E$21</definedName>
    <definedName name="TP_4">Suivi!$G$8:$G$21</definedName>
    <definedName name="TP_5">Suivi!$I$8:$I$21</definedName>
    <definedName name="TP_6">Suivi!$K$8:$K$21</definedName>
    <definedName name="TP_7">Suivi!$M$8:$M$21</definedName>
    <definedName name="TP_8">Suivi!$O$8:$O$21</definedName>
    <definedName name="TP_9">Suivi!$Q$8:$Q$21</definedName>
    <definedName name="Vues">Ressources!$B$8:$B$13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1" l="1"/>
  <c r="M10" i="1"/>
  <c r="K10" i="1"/>
  <c r="E10" i="1"/>
  <c r="M9" i="1"/>
  <c r="K9" i="1"/>
  <c r="E9" i="1"/>
  <c r="E5" i="1" l="1"/>
  <c r="K5" i="1"/>
  <c r="M5" i="1"/>
  <c r="I15" i="9"/>
  <c r="J15" i="9"/>
  <c r="K15" i="9"/>
  <c r="L15" i="9"/>
  <c r="AB8" i="6"/>
  <c r="AG8" i="6"/>
  <c r="AL8" i="6"/>
  <c r="AQ8" i="6"/>
  <c r="AV8" i="6"/>
  <c r="BA8" i="6"/>
  <c r="BF8" i="6"/>
  <c r="BK8" i="6"/>
  <c r="BP8" i="6"/>
  <c r="BU8" i="6"/>
  <c r="BZ8" i="6"/>
  <c r="CE8" i="6"/>
  <c r="CJ8" i="6"/>
  <c r="CO8" i="6"/>
  <c r="CT8" i="6"/>
  <c r="CY8" i="6"/>
  <c r="DD8" i="6"/>
  <c r="DI8" i="6"/>
  <c r="W8" i="6"/>
  <c r="O7" i="6"/>
  <c r="T7" i="6" s="1"/>
  <c r="W7" i="6" s="1"/>
  <c r="S11" i="6" l="1"/>
  <c r="W11" i="6"/>
  <c r="P11" i="6"/>
  <c r="V11" i="6"/>
  <c r="O11" i="6"/>
  <c r="Q11" i="6"/>
  <c r="U11" i="6"/>
  <c r="R11" i="6"/>
  <c r="X11" i="6"/>
  <c r="T11" i="6"/>
  <c r="Y7" i="6"/>
  <c r="R7" i="6"/>
  <c r="V3" i="6"/>
  <c r="AB11" i="6" l="1"/>
  <c r="Y11" i="6"/>
  <c r="AC11" i="6"/>
  <c r="AA11" i="6"/>
  <c r="Z11" i="6"/>
  <c r="AD7" i="6"/>
  <c r="AB7" i="6"/>
  <c r="AF11" i="6" l="1"/>
  <c r="AE11" i="6"/>
  <c r="AG11" i="6"/>
  <c r="AD11" i="6"/>
  <c r="AH11" i="6"/>
  <c r="AI7" i="6"/>
  <c r="AG7" i="6"/>
  <c r="AJ11" i="6" l="1"/>
  <c r="AK11" i="6"/>
  <c r="AM11" i="6"/>
  <c r="AL11" i="6"/>
  <c r="AI11" i="6"/>
  <c r="AN7" i="6"/>
  <c r="AL7" i="6"/>
  <c r="AN11" i="6" l="1"/>
  <c r="AR11" i="6"/>
  <c r="AQ11" i="6"/>
  <c r="AO11" i="6"/>
  <c r="AP11" i="6"/>
  <c r="AS7" i="6"/>
  <c r="AQ7" i="6"/>
  <c r="I12" i="6"/>
  <c r="H12" i="6"/>
  <c r="G12" i="6"/>
  <c r="E15" i="9"/>
  <c r="F12" i="6" s="1"/>
  <c r="F15" i="9"/>
  <c r="G15" i="9"/>
  <c r="H15" i="9"/>
  <c r="E12" i="6" s="1"/>
  <c r="D15" i="9"/>
  <c r="AV11" i="6" l="1"/>
  <c r="AS11" i="6"/>
  <c r="AW11" i="6"/>
  <c r="AT11" i="6"/>
  <c r="AU11" i="6"/>
  <c r="AX7" i="6"/>
  <c r="AV7" i="6"/>
  <c r="K17" i="6"/>
  <c r="K21" i="6"/>
  <c r="K25" i="6"/>
  <c r="Y5" i="6"/>
  <c r="U24" i="2"/>
  <c r="Q1" i="2"/>
  <c r="H1" i="2"/>
  <c r="Q1" i="1"/>
  <c r="K1" i="1"/>
  <c r="C2" i="9"/>
  <c r="C3" i="6"/>
  <c r="C2" i="6"/>
  <c r="C3" i="9"/>
  <c r="J22" i="6"/>
  <c r="K22" i="6" s="1"/>
  <c r="J23" i="6"/>
  <c r="K23" i="6" s="1"/>
  <c r="J24" i="6"/>
  <c r="K24" i="6" s="1"/>
  <c r="J25" i="6"/>
  <c r="J26" i="6"/>
  <c r="K26" i="6" s="1"/>
  <c r="N23" i="6"/>
  <c r="N24" i="6"/>
  <c r="N25" i="6"/>
  <c r="N26" i="6"/>
  <c r="D39" i="6"/>
  <c r="K12" i="1"/>
  <c r="K13" i="1"/>
  <c r="K14" i="1"/>
  <c r="K15" i="1"/>
  <c r="K16" i="1"/>
  <c r="K17" i="1"/>
  <c r="K18" i="1"/>
  <c r="K19" i="1"/>
  <c r="K20" i="1"/>
  <c r="K21" i="1"/>
  <c r="K22" i="1"/>
  <c r="K23" i="1"/>
  <c r="K24" i="1"/>
  <c r="K25" i="1"/>
  <c r="E12" i="1"/>
  <c r="E13" i="1"/>
  <c r="E14" i="1"/>
  <c r="E15" i="1"/>
  <c r="E16" i="1"/>
  <c r="E17" i="1"/>
  <c r="E18" i="1"/>
  <c r="E19" i="1"/>
  <c r="E20" i="1"/>
  <c r="E21" i="1"/>
  <c r="E22" i="1"/>
  <c r="E23" i="1"/>
  <c r="E24" i="1"/>
  <c r="E25" i="1"/>
  <c r="D35" i="6"/>
  <c r="J20" i="6"/>
  <c r="K20" i="6" s="1"/>
  <c r="J21" i="6"/>
  <c r="J27" i="6"/>
  <c r="K27" i="6" s="1"/>
  <c r="J28" i="6"/>
  <c r="K28" i="6" s="1"/>
  <c r="J29" i="6"/>
  <c r="K29" i="6" s="1"/>
  <c r="J30" i="6"/>
  <c r="K30" i="6" s="1"/>
  <c r="J31" i="6"/>
  <c r="K31" i="6" s="1"/>
  <c r="J32" i="6"/>
  <c r="K32" i="6" s="1"/>
  <c r="J33" i="6"/>
  <c r="K33" i="6" s="1"/>
  <c r="N19" i="6"/>
  <c r="N20" i="6"/>
  <c r="N21" i="6"/>
  <c r="N22" i="6"/>
  <c r="N27" i="6"/>
  <c r="N28" i="6"/>
  <c r="N29" i="6"/>
  <c r="N30" i="6"/>
  <c r="N31" i="6"/>
  <c r="N32" i="6"/>
  <c r="N33" i="6"/>
  <c r="N34" i="6"/>
  <c r="J14" i="6"/>
  <c r="K14" i="6" s="1"/>
  <c r="J15" i="6"/>
  <c r="K15" i="6" s="1"/>
  <c r="J16" i="6"/>
  <c r="K16" i="6" s="1"/>
  <c r="J17" i="6"/>
  <c r="J18" i="6"/>
  <c r="K18" i="6" s="1"/>
  <c r="J19" i="6"/>
  <c r="K19" i="6" s="1"/>
  <c r="W5" i="6"/>
  <c r="M12" i="1"/>
  <c r="M13" i="1"/>
  <c r="M14" i="1"/>
  <c r="M15" i="1"/>
  <c r="M16" i="1"/>
  <c r="M17" i="1"/>
  <c r="M18" i="1"/>
  <c r="M19" i="1"/>
  <c r="M20" i="1"/>
  <c r="M21" i="1"/>
  <c r="M22" i="1"/>
  <c r="M23" i="1"/>
  <c r="M24" i="1"/>
  <c r="M8" i="1"/>
  <c r="M25" i="1"/>
  <c r="A23" i="2"/>
  <c r="A32" i="2" s="1"/>
  <c r="C23" i="2"/>
  <c r="A33" i="2" s="1"/>
  <c r="E23" i="2"/>
  <c r="A34" i="2" s="1"/>
  <c r="G23" i="2"/>
  <c r="I23" i="2"/>
  <c r="A36" i="2" s="1"/>
  <c r="K23" i="2"/>
  <c r="A37" i="2" s="1"/>
  <c r="M23" i="2"/>
  <c r="A38" i="2" s="1"/>
  <c r="O23" i="2"/>
  <c r="A39" i="2" s="1"/>
  <c r="Q23" i="2"/>
  <c r="A40" i="2" s="1"/>
  <c r="S23" i="2"/>
  <c r="A41" i="2" s="1"/>
  <c r="N13" i="6"/>
  <c r="H11" i="6"/>
  <c r="I11" i="6"/>
  <c r="G11" i="6"/>
  <c r="F11" i="6"/>
  <c r="E11" i="6"/>
  <c r="J27" i="1"/>
  <c r="L13" i="9" s="1"/>
  <c r="T9" i="2"/>
  <c r="T10" i="2"/>
  <c r="T11" i="2"/>
  <c r="T12" i="2"/>
  <c r="T13" i="2"/>
  <c r="T14" i="2"/>
  <c r="T15" i="2"/>
  <c r="T16" i="2"/>
  <c r="T17" i="2"/>
  <c r="T18" i="2"/>
  <c r="T19" i="2"/>
  <c r="T20" i="2"/>
  <c r="T21" i="2"/>
  <c r="R9" i="2"/>
  <c r="R10" i="2"/>
  <c r="R11" i="2"/>
  <c r="R12" i="2"/>
  <c r="R13" i="2"/>
  <c r="R14" i="2"/>
  <c r="R15" i="2"/>
  <c r="R16" i="2"/>
  <c r="R17" i="2"/>
  <c r="R18" i="2"/>
  <c r="R19" i="2"/>
  <c r="R20" i="2"/>
  <c r="R21" i="2"/>
  <c r="P9" i="2"/>
  <c r="P10" i="2"/>
  <c r="P11" i="2"/>
  <c r="P12" i="2"/>
  <c r="P13" i="2"/>
  <c r="P14" i="2"/>
  <c r="P15" i="2"/>
  <c r="P16" i="2"/>
  <c r="P17" i="2"/>
  <c r="P18" i="2"/>
  <c r="P19" i="2"/>
  <c r="P20" i="2"/>
  <c r="P21" i="2"/>
  <c r="N9" i="2"/>
  <c r="N10" i="2"/>
  <c r="N11" i="2"/>
  <c r="N12" i="2"/>
  <c r="N13" i="2"/>
  <c r="N14" i="2"/>
  <c r="N15" i="2"/>
  <c r="N16" i="2"/>
  <c r="N17" i="2"/>
  <c r="N18" i="2"/>
  <c r="N19" i="2"/>
  <c r="N20" i="2"/>
  <c r="N21" i="2"/>
  <c r="L10" i="2"/>
  <c r="L11" i="2"/>
  <c r="L12" i="2"/>
  <c r="L13" i="2"/>
  <c r="L14" i="2"/>
  <c r="L15" i="2"/>
  <c r="L16" i="2"/>
  <c r="L17" i="2"/>
  <c r="L18" i="2"/>
  <c r="L19" i="2"/>
  <c r="L20" i="2"/>
  <c r="L21" i="2"/>
  <c r="J11" i="2"/>
  <c r="J12" i="2"/>
  <c r="J13" i="2"/>
  <c r="J14" i="2"/>
  <c r="J15" i="2"/>
  <c r="J16" i="2"/>
  <c r="J17" i="2"/>
  <c r="J18" i="2"/>
  <c r="J19" i="2"/>
  <c r="J20" i="2"/>
  <c r="J21" i="2"/>
  <c r="H11" i="2"/>
  <c r="H12" i="2"/>
  <c r="H13" i="2"/>
  <c r="H14" i="2"/>
  <c r="H15" i="2"/>
  <c r="H16" i="2"/>
  <c r="H17" i="2"/>
  <c r="H18" i="2"/>
  <c r="H19" i="2"/>
  <c r="H20" i="2"/>
  <c r="H21" i="2"/>
  <c r="F18" i="2"/>
  <c r="F19" i="2"/>
  <c r="F20" i="2"/>
  <c r="F21" i="2"/>
  <c r="D11" i="2"/>
  <c r="D12" i="2"/>
  <c r="D13" i="2"/>
  <c r="D14" i="2"/>
  <c r="D15" i="2"/>
  <c r="D16" i="2"/>
  <c r="D17" i="2"/>
  <c r="D18" i="2"/>
  <c r="D19" i="2"/>
  <c r="D20" i="2"/>
  <c r="D21" i="2"/>
  <c r="T8" i="2"/>
  <c r="R8" i="2"/>
  <c r="P8" i="2"/>
  <c r="N8" i="2"/>
  <c r="B11" i="2"/>
  <c r="B12" i="2"/>
  <c r="B13" i="2"/>
  <c r="B14" i="2"/>
  <c r="B15" i="2"/>
  <c r="B16" i="2"/>
  <c r="B17" i="2"/>
  <c r="B18" i="2"/>
  <c r="B19" i="2"/>
  <c r="B20" i="2"/>
  <c r="B21" i="2"/>
  <c r="J3" i="1"/>
  <c r="I3" i="1"/>
  <c r="H3" i="1"/>
  <c r="G3" i="1"/>
  <c r="F3" i="1"/>
  <c r="M6" i="1"/>
  <c r="M7" i="1"/>
  <c r="A35" i="2"/>
  <c r="N18" i="6"/>
  <c r="N17" i="6"/>
  <c r="N16" i="6"/>
  <c r="N15" i="6"/>
  <c r="N14" i="6"/>
  <c r="T9" i="6"/>
  <c r="Y9" i="6" s="1"/>
  <c r="AD9" i="6" s="1"/>
  <c r="AI9" i="6" s="1"/>
  <c r="AN9" i="6" s="1"/>
  <c r="AS9" i="6" s="1"/>
  <c r="AX9" i="6" s="1"/>
  <c r="BC9" i="6" s="1"/>
  <c r="BH9" i="6" s="1"/>
  <c r="BM9" i="6" s="1"/>
  <c r="BR9" i="6" s="1"/>
  <c r="BW9" i="6" s="1"/>
  <c r="CB9" i="6" s="1"/>
  <c r="CG9" i="6" s="1"/>
  <c r="CL9" i="6" s="1"/>
  <c r="CQ9" i="6" s="1"/>
  <c r="CV9" i="6" s="1"/>
  <c r="DA9" i="6" s="1"/>
  <c r="DF9" i="6" s="1"/>
  <c r="E6" i="1"/>
  <c r="E7" i="1"/>
  <c r="K7" i="1"/>
  <c r="E8" i="1"/>
  <c r="K8" i="1"/>
  <c r="K6" i="1"/>
  <c r="I27" i="1"/>
  <c r="L12" i="9" s="1"/>
  <c r="G27" i="1"/>
  <c r="L10" i="9" s="1"/>
  <c r="N27" i="1" l="1"/>
  <c r="L2" i="1"/>
  <c r="AZ11" i="6"/>
  <c r="BA11" i="6"/>
  <c r="AY11" i="6"/>
  <c r="AX11" i="6"/>
  <c r="BB11" i="6"/>
  <c r="BC7" i="6"/>
  <c r="BA7" i="6"/>
  <c r="K39" i="6"/>
  <c r="H27" i="1"/>
  <c r="L11" i="9" s="1"/>
  <c r="F27" i="1"/>
  <c r="L9" i="9" s="1"/>
  <c r="K27" i="1"/>
  <c r="N22" i="2"/>
  <c r="N27" i="2" s="1"/>
  <c r="R22" i="2"/>
  <c r="P22" i="2"/>
  <c r="T22" i="2"/>
  <c r="K35" i="6"/>
  <c r="N35" i="6"/>
  <c r="F17" i="2" l="1"/>
  <c r="N26" i="2"/>
  <c r="O27" i="1"/>
  <c r="L14" i="9"/>
  <c r="BD11" i="6"/>
  <c r="BG11" i="6"/>
  <c r="BE11" i="6"/>
  <c r="BF11" i="6"/>
  <c r="BC11" i="6"/>
  <c r="BH7" i="6"/>
  <c r="BF7" i="6"/>
  <c r="N23" i="2"/>
  <c r="B38" i="2" s="1"/>
  <c r="N28" i="1"/>
  <c r="O28" i="1" s="1"/>
  <c r="P26" i="2"/>
  <c r="P27" i="2"/>
  <c r="T23" i="2"/>
  <c r="B41" i="2" s="1"/>
  <c r="T27" i="2"/>
  <c r="R26" i="2"/>
  <c r="R27" i="2"/>
  <c r="R23" i="2"/>
  <c r="B40" i="2" s="1"/>
  <c r="P23" i="2"/>
  <c r="B39" i="2" s="1"/>
  <c r="T26" i="2"/>
  <c r="B10" i="2" l="1"/>
  <c r="J9" i="2"/>
  <c r="L8" i="2"/>
  <c r="F14" i="2"/>
  <c r="F10" i="2"/>
  <c r="L9" i="2"/>
  <c r="F9" i="2"/>
  <c r="D10" i="2"/>
  <c r="F13" i="2"/>
  <c r="F16" i="2"/>
  <c r="F15" i="2"/>
  <c r="F11" i="2"/>
  <c r="F8" i="2"/>
  <c r="H8" i="2"/>
  <c r="J10" i="2"/>
  <c r="F12" i="2"/>
  <c r="H10" i="2"/>
  <c r="J8" i="2"/>
  <c r="H9" i="2"/>
  <c r="B8" i="2"/>
  <c r="D8" i="2"/>
  <c r="D9" i="2"/>
  <c r="B9" i="2"/>
  <c r="BH11" i="6"/>
  <c r="BL11" i="6"/>
  <c r="BI11" i="6"/>
  <c r="BK11" i="6"/>
  <c r="BJ11" i="6"/>
  <c r="BM7" i="6"/>
  <c r="BK7" i="6"/>
  <c r="L22" i="2" l="1"/>
  <c r="L26" i="2" s="1"/>
  <c r="F22" i="2"/>
  <c r="F26" i="2" s="1"/>
  <c r="H22" i="2"/>
  <c r="H26" i="2" s="1"/>
  <c r="J22" i="2"/>
  <c r="D22" i="2"/>
  <c r="D27" i="2" s="1"/>
  <c r="B22" i="2"/>
  <c r="B26" i="2" s="1"/>
  <c r="BP11" i="6"/>
  <c r="BM11" i="6"/>
  <c r="BQ11" i="6"/>
  <c r="BN11" i="6"/>
  <c r="BO11" i="6"/>
  <c r="BR7" i="6"/>
  <c r="BP7" i="6"/>
  <c r="L27" i="2" l="1"/>
  <c r="L23" i="2"/>
  <c r="B37" i="2" s="1"/>
  <c r="H23" i="2"/>
  <c r="B35" i="2" s="1"/>
  <c r="H27" i="2"/>
  <c r="F27" i="2"/>
  <c r="F23" i="2"/>
  <c r="B34" i="2" s="1"/>
  <c r="J26" i="2"/>
  <c r="J23" i="2"/>
  <c r="B36" i="2" s="1"/>
  <c r="J27" i="2"/>
  <c r="D26" i="2"/>
  <c r="I4" i="2"/>
  <c r="D23" i="2" s="1"/>
  <c r="B33" i="2" s="1"/>
  <c r="U22" i="2"/>
  <c r="D29" i="2" s="1"/>
  <c r="B27" i="2"/>
  <c r="BT11" i="6"/>
  <c r="BS11" i="6"/>
  <c r="BU11" i="6"/>
  <c r="BR11" i="6"/>
  <c r="BV11" i="6"/>
  <c r="BW7" i="6"/>
  <c r="BU7" i="6"/>
  <c r="U26" i="2" l="1"/>
  <c r="U27" i="2"/>
  <c r="B23" i="2"/>
  <c r="B32" i="2" s="1"/>
  <c r="N4" i="2"/>
  <c r="K4" i="2"/>
  <c r="F29" i="2"/>
  <c r="BX11" i="6"/>
  <c r="BY11" i="6"/>
  <c r="CA11" i="6"/>
  <c r="BZ11" i="6"/>
  <c r="BW11" i="6"/>
  <c r="CB7" i="6"/>
  <c r="BZ7" i="6"/>
  <c r="CB11" i="6" l="1"/>
  <c r="CF11" i="6"/>
  <c r="CE11" i="6"/>
  <c r="CC11" i="6"/>
  <c r="CD11" i="6"/>
  <c r="CG7" i="6"/>
  <c r="CE7" i="6"/>
  <c r="CJ11" i="6" l="1"/>
  <c r="CG11" i="6"/>
  <c r="CK11" i="6"/>
  <c r="CH11" i="6"/>
  <c r="CI11" i="6"/>
  <c r="CL7" i="6"/>
  <c r="CJ7" i="6"/>
  <c r="CN11" i="6" l="1"/>
  <c r="CO11" i="6"/>
  <c r="CM11" i="6"/>
  <c r="CL11" i="6"/>
  <c r="CP11" i="6"/>
  <c r="CQ7" i="6"/>
  <c r="CO7" i="6"/>
  <c r="CR11" i="6" l="1"/>
  <c r="CQ11" i="6"/>
  <c r="CS11" i="6"/>
  <c r="CT11" i="6"/>
  <c r="CU11" i="6"/>
  <c r="CV7" i="6"/>
  <c r="CT7" i="6"/>
  <c r="CV11" i="6" l="1"/>
  <c r="CZ11" i="6"/>
  <c r="CW11" i="6"/>
  <c r="CX11" i="6"/>
  <c r="CY11" i="6"/>
  <c r="DA7" i="6"/>
  <c r="CY7" i="6"/>
  <c r="DD11" i="6" l="1"/>
  <c r="DA11" i="6"/>
  <c r="DE11" i="6"/>
  <c r="DC11" i="6"/>
  <c r="DB11" i="6"/>
  <c r="DF7" i="6"/>
  <c r="DD7" i="6"/>
  <c r="DI7" i="6" l="1"/>
  <c r="DH11" i="6"/>
  <c r="DG11" i="6"/>
  <c r="DI11" i="6"/>
  <c r="DF11" i="6"/>
  <c r="DJ11" i="6"/>
  <c r="M50" i="6"/>
  <c r="K50" i="6"/>
  <c r="K48" i="6"/>
  <c r="D48" i="6"/>
  <c r="K47" i="6"/>
  <c r="D47" i="6"/>
  <c r="C47" i="6" s="1"/>
  <c r="D46" i="6"/>
  <c r="C46" i="6" s="1"/>
  <c r="K44" i="6"/>
  <c r="I44" i="6"/>
  <c r="H44" i="6"/>
  <c r="G44" i="6"/>
  <c r="F44" i="6"/>
  <c r="E44" i="6"/>
  <c r="D44" i="6"/>
  <c r="D43" i="6"/>
  <c r="N42" i="6"/>
  <c r="N41" i="6"/>
  <c r="J41" i="6"/>
  <c r="K41" i="6" s="1"/>
  <c r="N40" i="6"/>
  <c r="J40" i="6"/>
  <c r="K40" i="6" s="1"/>
  <c r="N39" i="6"/>
  <c r="J39" i="6"/>
  <c r="N38" i="6"/>
  <c r="J38" i="6"/>
  <c r="K38" i="6" s="1"/>
  <c r="N37" i="6"/>
  <c r="J37" i="6"/>
  <c r="K37" i="6" s="1"/>
  <c r="N36" i="6"/>
  <c r="N43" i="6" s="1"/>
  <c r="J36" i="6"/>
  <c r="K36" i="6" s="1"/>
  <c r="J35" i="6"/>
  <c r="J34" i="6"/>
  <c r="K34" i="6" s="1"/>
  <c r="D25" i="6"/>
  <c r="D21" i="6"/>
  <c r="D17" i="6"/>
  <c r="D14" i="6"/>
  <c r="C48" i="6" l="1"/>
  <c r="K46" i="6"/>
  <c r="F43" i="6"/>
  <c r="K10" i="9" s="1"/>
  <c r="E43" i="6"/>
  <c r="K43" i="6"/>
  <c r="F47" i="6" s="1"/>
  <c r="H43" i="6"/>
  <c r="I43" i="6"/>
  <c r="G43" i="6"/>
  <c r="K11" i="9" s="1"/>
  <c r="F48" i="6" l="1"/>
  <c r="K12" i="9"/>
  <c r="K9" i="9" s="1"/>
  <c r="F46" i="6"/>
  <c r="K13" i="9" l="1"/>
  <c r="K1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Jean-Michel Gschwind</author>
  </authors>
  <commentList>
    <comment ref="A11" authorId="0" shapeId="0" xr:uid="{C83A012E-55A9-4EE3-8054-01A04C5E77E3}">
      <text>
        <r>
          <rPr>
            <b/>
            <sz val="9"/>
            <color indexed="81"/>
            <rFont val="Tahoma"/>
            <family val="2"/>
          </rPr>
          <t xml:space="preserve">Format No.
</t>
        </r>
        <r>
          <rPr>
            <sz val="9"/>
            <color indexed="81"/>
            <rFont val="Tahoma"/>
            <family val="2"/>
          </rPr>
          <t>Si le No des lots de tâches se transforme en date, mettez un espace avant le No.</t>
        </r>
      </text>
    </comment>
    <comment ref="D11" authorId="0" shapeId="0" xr:uid="{654ACD20-EB5D-4A40-8E2E-58BCBBE857D0}">
      <text>
        <r>
          <rPr>
            <b/>
            <sz val="9"/>
            <color indexed="81"/>
            <rFont val="Tahoma"/>
            <family val="2"/>
          </rPr>
          <t xml:space="preserve">Attention :
</t>
        </r>
        <r>
          <rPr>
            <sz val="9"/>
            <color indexed="81"/>
            <rFont val="Tahoma"/>
            <family val="2"/>
          </rPr>
          <t xml:space="preserve">Charge = Durée * ressources
</t>
        </r>
      </text>
    </comment>
    <comment ref="K11" authorId="0" shapeId="0" xr:uid="{997A87DD-A53A-4755-ABD7-B41F662EFE27}">
      <text>
        <r>
          <rPr>
            <b/>
            <sz val="9"/>
            <color indexed="81"/>
            <rFont val="Tahoma"/>
            <family val="2"/>
          </rPr>
          <t xml:space="preserve">Attention :
</t>
        </r>
        <r>
          <rPr>
            <sz val="9"/>
            <color indexed="81"/>
            <rFont val="Tahoma"/>
            <family val="2"/>
          </rPr>
          <t xml:space="preserve">Ne rien remplir ici, la durée se calcule automatiquement avec la formule : 
</t>
        </r>
        <r>
          <rPr>
            <b/>
            <sz val="9"/>
            <color indexed="81"/>
            <rFont val="Tahoma"/>
            <family val="2"/>
          </rPr>
          <t>Durée = charge de travail / Ressources</t>
        </r>
        <r>
          <rPr>
            <sz val="9"/>
            <color indexed="81"/>
            <rFont val="Tahoma"/>
            <family val="2"/>
          </rPr>
          <t xml:space="preserve">
Remplir la charge de travail seulement
</t>
        </r>
      </text>
    </comment>
    <comment ref="E12" authorId="0" shapeId="0" xr:uid="{D511FED1-F205-49D6-A77E-88FA9E72C1FF}">
      <text>
        <r>
          <rPr>
            <b/>
            <sz val="9"/>
            <color indexed="81"/>
            <rFont val="Tahoma"/>
            <family val="2"/>
          </rPr>
          <t xml:space="preserve">Fonction :
</t>
        </r>
        <r>
          <rPr>
            <sz val="9"/>
            <color indexed="81"/>
            <rFont val="Tahoma"/>
            <family val="2"/>
          </rPr>
          <t>Inscrit la fonction la plus élevée du tableau ressources</t>
        </r>
      </text>
    </comment>
    <comment ref="A14" authorId="0" shapeId="0" xr:uid="{8C0FA218-B6AC-494E-BDF9-89F0FAA8BBA0}">
      <text>
        <r>
          <rPr>
            <b/>
            <sz val="9"/>
            <color indexed="81"/>
            <rFont val="Tahoma"/>
            <family val="2"/>
          </rPr>
          <t xml:space="preserve">Numérotation :
</t>
        </r>
        <r>
          <rPr>
            <sz val="9"/>
            <color indexed="81"/>
            <rFont val="Tahoma"/>
            <family val="2"/>
          </rPr>
          <t xml:space="preserve">1, 2, 3 … pour les tâches principales
1.1, 1.2, 1.3, … pour les lots de tâches
Jalon 1, Jalon 2, … pour les jalons
</t>
        </r>
      </text>
    </comment>
    <comment ref="D14" authorId="0" shapeId="0" xr:uid="{4DB12CC2-434A-4001-AC7B-6DF1436FA19D}">
      <text>
        <r>
          <rPr>
            <b/>
            <sz val="9"/>
            <color indexed="81"/>
            <rFont val="Tahoma"/>
            <family val="2"/>
          </rPr>
          <t>Format durée</t>
        </r>
        <r>
          <rPr>
            <sz val="9"/>
            <color indexed="81"/>
            <rFont val="Tahoma"/>
            <family val="2"/>
          </rPr>
          <t xml:space="preserve"> : 
Inscrire la charge de travail en format hh:mm. Si vous entrez un nombre, il considère comme 1 jour de 24 h
</t>
        </r>
        <r>
          <rPr>
            <b/>
            <sz val="9"/>
            <color indexed="81"/>
            <rFont val="Tahoma"/>
            <family val="2"/>
          </rPr>
          <t>Total par tâches principales</t>
        </r>
        <r>
          <rPr>
            <sz val="9"/>
            <color indexed="81"/>
            <rFont val="Tahoma"/>
            <family val="2"/>
          </rPr>
          <t xml:space="preserve"> : Additionner à l'aide de la formule =somme(…)</t>
        </r>
      </text>
    </comment>
  </commentList>
</comments>
</file>

<file path=xl/sharedStrings.xml><?xml version="1.0" encoding="utf-8"?>
<sst xmlns="http://schemas.openxmlformats.org/spreadsheetml/2006/main" count="472" uniqueCount="277">
  <si>
    <t>Marche à suivre pour la planification et gestion du temps d'un projet</t>
  </si>
  <si>
    <t>Attention, interdiction de remplir les cellules avec le fond blanc</t>
  </si>
  <si>
    <t>1.Une fois que les objectifs du projet sont bien définis (séance Kick Off), démarrer le journal de bord</t>
  </si>
  <si>
    <t>Inscrire le nom du projet et le chef de projet dans l'onglet "Organigramme des tâches"</t>
  </si>
  <si>
    <t>Remplir dans l'onglet "Journal de bord" la séance Kick Off</t>
  </si>
  <si>
    <t xml:space="preserve">2. Créer un organigramme des tâches </t>
  </si>
  <si>
    <t>Débuter sur une feuille de papier ou sur un tableau (groupe)</t>
  </si>
  <si>
    <t>Ne supprimez pas de colonne ou de lignes non utilisées, vous pouvez les masquer si besoin</t>
  </si>
  <si>
    <t xml:space="preserve"> </t>
  </si>
  <si>
    <t>Insertion/Illustration/ SmartArt/hierarchie/organigramme (si pas déjà présent)</t>
  </si>
  <si>
    <t>Top niveau : Nom du projet</t>
  </si>
  <si>
    <r>
      <t xml:space="preserve">Niveau "secrétaire de direction" à supprimer (ligne </t>
    </r>
    <r>
      <rPr>
        <sz val="11"/>
        <color rgb="FF00B050"/>
        <rFont val="Symbol"/>
        <family val="1"/>
        <charset val="2"/>
      </rPr>
      <t xml:space="preserve"> </t>
    </r>
    <r>
      <rPr>
        <sz val="11"/>
        <color rgb="FF00B050"/>
        <rFont val="Calibri"/>
        <family val="2"/>
      </rPr>
      <t>└</t>
    </r>
    <r>
      <rPr>
        <sz val="11"/>
        <color rgb="FF00B050"/>
        <rFont val="Symbol"/>
        <family val="1"/>
        <charset val="2"/>
      </rPr>
      <t xml:space="preserve"> )</t>
    </r>
  </si>
  <si>
    <t>Des différents niveaux peuvent être créés grâce aux tabulations</t>
  </si>
  <si>
    <t>Niveau 1 : tâches principales</t>
  </si>
  <si>
    <t>Une tâche principale est généralement soit un domaine soit un livrable</t>
  </si>
  <si>
    <t>Niveau 2 : lots de tâches par tâche principale</t>
  </si>
  <si>
    <t>Un lot de tâches est un ensemble de tâches (et/ou de sous-tâches) qui permettront de réaliser une partie du projet/d'un livrable/d'un domaine</t>
  </si>
  <si>
    <t>Créer au besoin un niveau 0 (tâche récapitulative = partie de projet par exemple Phase 1, Phase 2, …)</t>
  </si>
  <si>
    <t>Rappel de théorie sur laquelle est basée ce fichier de planification</t>
  </si>
  <si>
    <t>Créer au besoin un niveau 3 (tâches) si le lot de tâches est conséquent, No 1.1.1, 1.1.2 …</t>
  </si>
  <si>
    <t>Mais pas besoin de trop détailler le travail à ce niveau !!</t>
  </si>
  <si>
    <t>3. Lister les ressources</t>
  </si>
  <si>
    <t>Ecrire le nom, prénom et une approximation de l'engagement en %  par fonction(s) pour chaque membre de l'équipe</t>
  </si>
  <si>
    <t>Ne pas supprimer pas de ligne !</t>
  </si>
  <si>
    <t>4. Créer le planning initial</t>
  </si>
  <si>
    <t>4.1 Choix du planning</t>
  </si>
  <si>
    <t>Planning initial - 5 : 5 jours/semaine ou 5 p ou 5 h par jour</t>
  </si>
  <si>
    <t>Planning initial - 10 : 10 demi-jours/semaine ou 10 p ou 10 h par jour</t>
  </si>
  <si>
    <t>Vous pouvez supprimer ou masquer le planning non utilisé</t>
  </si>
  <si>
    <t>4.2 Données du projet</t>
  </si>
  <si>
    <t>Remplir tout d'abord le nom du projet, votre nom et les dates (format x.x.xx) :</t>
  </si>
  <si>
    <t>Date du planning : le jour de la réalisation du planning</t>
  </si>
  <si>
    <t>Mise à jour du planning : si quelques petites modifications sont apportées au cours du projet</t>
  </si>
  <si>
    <t>En cas de grosse modification, copier un nouveau planning (clic droit sur le nom de la feuille) puis renommer cette feuille avec la nouvelle date au lieu d'initial</t>
  </si>
  <si>
    <t>Date du début du projet : date du lancement du projet, en notant un lundi si le planning est hebdomadaire</t>
  </si>
  <si>
    <t>Ce planning peut être hebdomadaire (1 case = 1/2 journée ou 1 jour) ou journalier (1 case est égale à 1 période ou à 1 heure) : faites votre choix à l'aide des listes déroulantes</t>
  </si>
  <si>
    <t>4.3 Calendrier</t>
  </si>
  <si>
    <t xml:space="preserve">Le premier jour est mis à jour automatiquement, et par défaut les jours/semaines suivant.e.s avec une incrémentation de 1. Vous pouvez modifier le carré jaune en dessous de la date pour créer le bon décalage (week-end, vacances, congé....). Pour toute spéficificité, après avoir ôter la protection, modifiez les formules ou inscrire la date correcte dans la ligne 5 (x.x.xx) et les numéros de jour/semaine dans la ligne 7 (inscrivez simplement le no, le mot semaine ou jour est automatique). </t>
  </si>
  <si>
    <t>Si vous voulez marquer un saut dans le calendrier (week-end, férié, vacances, hors projet,…) vous pouvez insérer une colonne après avoir fait un clic droit sur la lettre de la première colonne du jour/semaine suivant le saut.</t>
  </si>
  <si>
    <t xml:space="preserve">Pour insérer des jours/semaines supplémentaires, sélectionnez toutes les colonnes du dernier jour/semaine - copier - sélectionner la colonne vide après le tableau - coller </t>
  </si>
  <si>
    <t>4.4.Travaux à faire - Planification</t>
  </si>
  <si>
    <t>Pour rappel : les travaux à faire sont répartis en tâches principales (domaines ou livrables) qui sont ensuite divisés en lots de tâches. Il n'est pas nécessaire d'être plus précis lors du planning initial. La planification de chaque tâche doit être faite lorsqu'on aborde un lot de tâches dans le micro-planning (feuille JB)
1 jalon est un rendu ou un moment clé du projet, il a une durée de 0 min</t>
  </si>
  <si>
    <t>Pour numéroter les lots de tâches, tapez un espace avant la numérotation _1.1, _1.2 …</t>
  </si>
  <si>
    <t>Pour ajouter des lignes, sélectionnez les numéros de une ou plusieurs lignes vides, copier puis coller. Si vous insérez une ligne, la formule de la différence de la colonne E ne sera pas recopiée (vous devrez la recopier par la suite)</t>
  </si>
  <si>
    <t>Inscrire la charge de travail pour chaque lots de tâches au format hh:mm, en arrondissant au maximum (à l'heure ou à la 1/2 heure pour simplifier le remplissage du diagramme de Gantt.</t>
  </si>
  <si>
    <t>Ecrire la formule =somme(D… : D...) dans la ligne des tâches principales</t>
  </si>
  <si>
    <t>Indiquer l'implication en % de chaque membre pour ce lot de tâches dans les colonnes E à I</t>
  </si>
  <si>
    <t>La durée du lot de tâches se calcule automatiquement</t>
  </si>
  <si>
    <t>Remplir le diagramme de Gantt, la colonne N indique si le nombre de x est correct (en fonction de la durée calculée). Des lots de tâches peuvent se faire en parallèle</t>
  </si>
  <si>
    <t>Dans la cellule D5, vous pouvez selectionner chaque membre pour vérifier dans le Gantt s'il n'est pas en sur/sous occupation (2 tâches durant la même période)</t>
  </si>
  <si>
    <t>Mettez un x pour une tâche et un o (pas zéro) pour un jalon.</t>
  </si>
  <si>
    <t>5. Compléter le journal de bord</t>
  </si>
  <si>
    <t>5.1 Dans l'onglet "Récap par lots de tâches"</t>
  </si>
  <si>
    <t xml:space="preserve">Reporter les tâches principales dans la ligne 5 de l'onglet Types de tâches </t>
  </si>
  <si>
    <t>Reporter les lots de tâches dans la colonne correspondante à la tâche principale</t>
  </si>
  <si>
    <t>5.2 Dans l'onglet journal de bord :</t>
  </si>
  <si>
    <t>Ecrire la date jj.mm.aa</t>
  </si>
  <si>
    <t>Ecrire l'heure de début et de fin de la tâche hh:mm (Ctrl + Maj + : pour introduire directement l'heure actuelle)</t>
  </si>
  <si>
    <t>Mettre un "x" dans la colonne de la ou les ressources correspondantes</t>
  </si>
  <si>
    <t>Sélectionner dans les listes déroulantes la tâche principale puis le lot de tâches concernés par la tâche réalisée</t>
  </si>
  <si>
    <t>Mettre un "x" dans la colonne F si la tâche est facturable ou non</t>
  </si>
  <si>
    <t>Si des personnes ont passés des durées différentes sur la même tâches, écrire plusieurs lignes</t>
  </si>
  <si>
    <t>Décrire précisément la tâche/le travail effectué</t>
  </si>
  <si>
    <t>6. Réaliser le microplanning</t>
  </si>
  <si>
    <t>Au début de chaque tâche principale et/ou lot de tâches et/ou semaine et/ou jour, faire un planning des prochaines heures de travail sur le projet</t>
  </si>
  <si>
    <t>7. Suivre le projet</t>
  </si>
  <si>
    <t>Vérifier si les totaux sont corrects (onglets "Ressources" et "Récap par lots de tâches!K4")</t>
  </si>
  <si>
    <t>Il faut faire un nouveau planning (clic droit sur l'onglet/Déplacer ou copier…/cocher une copie)  le planning initial puis intermédiaire jj.mm.aa lorsque un gros décalage entre la réalité et la planification est observée</t>
  </si>
  <si>
    <t>8. Achever le projet</t>
  </si>
  <si>
    <t>Comparer les heures prévues VS heures réalisées par tâche principale et totales</t>
  </si>
  <si>
    <t>Vérifier le % d'heures facturables</t>
  </si>
  <si>
    <t>9. Impression</t>
  </si>
  <si>
    <t>Vous pouvez masquer les lignes et colonnes que vous ne voulez pas imprimer</t>
  </si>
  <si>
    <t>Pour redéfinir la zone d'impression : sélectionnez ce qui doit être imprimé =&gt;  Mise en page =&gt; Zone d'impression =&gt; définir</t>
  </si>
  <si>
    <t>Pour définir les colonnes ou lignes à répéter à l'impression sur chaque page: Mise en page =&gt; imprimer les titres</t>
  </si>
  <si>
    <t>Vérifiez que le texte est lisible à l'impression et jouez avec les marges et la mise à l'échelle personnalisée pour maximiser l'espace imprimé et ne pas couper un jour</t>
  </si>
  <si>
    <t>Contrôlez les en-têtes et pieds de page (Mise en page dans Aperçu avant impression)</t>
  </si>
  <si>
    <t>Pour toute question ou remarque veuillez contacter :</t>
  </si>
  <si>
    <t>jeanmichel.gschwind@eduvaud.ch</t>
  </si>
  <si>
    <t>Organigramme des tâches</t>
  </si>
  <si>
    <t>Attention de ne pas déplacer manuellement les zones de texte !</t>
  </si>
  <si>
    <t xml:space="preserve">Projet : </t>
  </si>
  <si>
    <t xml:space="preserve">Chef de projet : </t>
  </si>
  <si>
    <t>Ressources</t>
  </si>
  <si>
    <r>
      <t xml:space="preserve">Fonctions, </t>
    </r>
    <r>
      <rPr>
        <sz val="11"/>
        <color theme="1"/>
        <rFont val="Calibri"/>
        <family val="2"/>
        <scheme val="minor"/>
      </rPr>
      <t>charge en %</t>
    </r>
  </si>
  <si>
    <t>Durées totales</t>
  </si>
  <si>
    <t>Nom</t>
  </si>
  <si>
    <t>Prénom (obligatoire)</t>
  </si>
  <si>
    <t>Remarques</t>
  </si>
  <si>
    <t>Chef de projet</t>
  </si>
  <si>
    <t>Gestion de projet</t>
  </si>
  <si>
    <t>Fonction 6</t>
  </si>
  <si>
    <t>Fonction 7</t>
  </si>
  <si>
    <t xml:space="preserve">planifiées dans planning initial-5
</t>
  </si>
  <si>
    <t xml:space="preserve">effectuées dans journal de bord
</t>
  </si>
  <si>
    <t>Etat</t>
  </si>
  <si>
    <t>Ne pas supprimer cette ligne</t>
  </si>
  <si>
    <t>Total</t>
  </si>
  <si>
    <t>max 100 % par personne</t>
  </si>
  <si>
    <t>Planning</t>
  </si>
  <si>
    <t xml:space="preserve">Date planning : </t>
  </si>
  <si>
    <t>planning :</t>
  </si>
  <si>
    <t>hebdomadaire</t>
  </si>
  <si>
    <t>MàJ planning :</t>
  </si>
  <si>
    <t>1 carré de Gantt =</t>
  </si>
  <si>
    <t>Début projet :</t>
  </si>
  <si>
    <t xml:space="preserve">Vue Gantt : </t>
  </si>
  <si>
    <t xml:space="preserve">Dates : </t>
  </si>
  <si>
    <t xml:space="preserve">Décalages : </t>
  </si>
  <si>
    <t xml:space="preserve"> +</t>
  </si>
  <si>
    <t xml:space="preserve">No jour/semaine : </t>
  </si>
  <si>
    <t>Ressources : les collaborateurs,leur fonction et leur implication dans la tâche</t>
  </si>
  <si>
    <t xml:space="preserve">Remarques : </t>
  </si>
  <si>
    <t>vacances</t>
  </si>
  <si>
    <t>Ascension</t>
  </si>
  <si>
    <t>Pentecôte</t>
  </si>
  <si>
    <t>CIE</t>
  </si>
  <si>
    <t>No tâches ou Jalons</t>
  </si>
  <si>
    <t>Tâches principales</t>
  </si>
  <si>
    <t>Charge de</t>
  </si>
  <si>
    <t>Durées</t>
  </si>
  <si>
    <t>Lots de tâches/jalons</t>
  </si>
  <si>
    <t>travail en h</t>
  </si>
  <si>
    <t>ressources</t>
  </si>
  <si>
    <t>prévues en h</t>
  </si>
  <si>
    <t>(dépendances, détails, …)</t>
  </si>
  <si>
    <t>Jalon/tâche</t>
  </si>
  <si>
    <t>Ne pas remplir la dernière ligne, ôtez la protection la feuille (pas de mdp),copier-coller une ou plusieurs ligne, puis protégez à nouveau la feuille (sécurité !!)</t>
  </si>
  <si>
    <t>Ne pas remplir la dernière ligne, ôtez la protection de la feuille (pas de mdp),copier-coller une ou plusieurs ligne, puis protégez à nouveau la feuille (sécurité !!)</t>
  </si>
  <si>
    <t>Total du projet (seulement lots des tâches)</t>
  </si>
  <si>
    <t>Le total des durées</t>
  </si>
  <si>
    <t>n'est pas pertinent</t>
  </si>
  <si>
    <t>car des lots de tâches</t>
  </si>
  <si>
    <t>peuvent se chevaucher</t>
  </si>
  <si>
    <t>Nombre de tâches et jalons terminés</t>
  </si>
  <si>
    <t xml:space="preserve">Journal de bord </t>
  </si>
  <si>
    <t>Projet :</t>
  </si>
  <si>
    <t>Chef de projet :</t>
  </si>
  <si>
    <t>Micro planning</t>
  </si>
  <si>
    <t>Charge totale du projet</t>
  </si>
  <si>
    <t>F = facturable (noter x)</t>
  </si>
  <si>
    <t>Date</t>
  </si>
  <si>
    <t xml:space="preserve">Début </t>
  </si>
  <si>
    <t>Fin</t>
  </si>
  <si>
    <t>Durée</t>
  </si>
  <si>
    <t>Charge</t>
  </si>
  <si>
    <t>No</t>
  </si>
  <si>
    <t>Lots de tâches</t>
  </si>
  <si>
    <t>F</t>
  </si>
  <si>
    <t>Travail effectué</t>
  </si>
  <si>
    <t>Décision-remarque</t>
  </si>
  <si>
    <t>Lieu</t>
  </si>
  <si>
    <t>Tâches et sous-tâches à faire</t>
  </si>
  <si>
    <t>Qui ?</t>
  </si>
  <si>
    <t xml:space="preserve">Durée </t>
  </si>
  <si>
    <t>Priorité</t>
  </si>
  <si>
    <t>Ne pas remplir la première ligne, ôtez la protection la feuille (pas de mdp),copier-coller une ou plusieurs ligne, puis protégez à nouveau la feuille (sécurité !!). Si vous insérez des lignes, recopiez les formules des colonnes E , K et M.</t>
  </si>
  <si>
    <t>Ne pas remplir la dernière ligne, ôtez la protection la feuille (pas de mdp),copier-coller une ou plusieurs ligne, puis protégez à nouveau la feuille (sécurité !!). Si vous insérez des lignes, recopiez les formules des colonnes E , K et M.</t>
  </si>
  <si>
    <t>Totaux</t>
  </si>
  <si>
    <t>Total facturable</t>
  </si>
  <si>
    <t>Total non-facturable</t>
  </si>
  <si>
    <t>Suivi de projet</t>
  </si>
  <si>
    <t>noter ci-dessous les types de tâches/lots de travaux selon votre organigramme des tâches</t>
  </si>
  <si>
    <t>h</t>
  </si>
  <si>
    <t>TP_1</t>
  </si>
  <si>
    <t>TP_2</t>
  </si>
  <si>
    <t>TP_3</t>
  </si>
  <si>
    <t>TP_4</t>
  </si>
  <si>
    <t>TP_5</t>
  </si>
  <si>
    <t>TP_6</t>
  </si>
  <si>
    <t>TP_7</t>
  </si>
  <si>
    <t>TP_8</t>
  </si>
  <si>
    <t>TP_9</t>
  </si>
  <si>
    <t>TP_10</t>
  </si>
  <si>
    <t>durée</t>
  </si>
  <si>
    <t>h réelle</t>
  </si>
  <si>
    <t>Heures planifiées</t>
  </si>
  <si>
    <t>h planifiée</t>
  </si>
  <si>
    <t>Différences :</t>
  </si>
  <si>
    <t>h réelle &gt; h planif</t>
  </si>
  <si>
    <t>h réelle &lt; h planif</t>
  </si>
  <si>
    <t>Différence totale</t>
  </si>
  <si>
    <t>Aide et atuces Excel</t>
  </si>
  <si>
    <t xml:space="preserve">Liste déroulante </t>
  </si>
  <si>
    <t>Créer une liste déroulante de choix</t>
  </si>
  <si>
    <t>Données/Validation de données</t>
  </si>
  <si>
    <t>Créer une liste déroulante de choix en cascade</t>
  </si>
  <si>
    <t>idem + =indirect(cellule choix1)</t>
  </si>
  <si>
    <t>Définir un nom de plages de cellules</t>
  </si>
  <si>
    <t>Formules/Définir un nom/</t>
  </si>
  <si>
    <t>Gérer les noms des plages de cellules</t>
  </si>
  <si>
    <t>Formules/Gestionnaire de noms</t>
  </si>
  <si>
    <t>Organigramme</t>
  </si>
  <si>
    <t>Pour récupérer le texte de l'organigramme en une fois il faut copier/coller sur PowerPoint puis conception de SmartArt/convertir</t>
  </si>
  <si>
    <t>Heures</t>
  </si>
  <si>
    <t>Astuce 1: si des #### apparaissent, il faut agrandir la largeur de la colonne</t>
  </si>
  <si>
    <t>Astuce 2 : pour des totaux de plus de 24h, format de cellule : [h]:mm;@</t>
  </si>
  <si>
    <t>Pour insérer le jour courant : Ctrl+Maj+;</t>
  </si>
  <si>
    <t>Pour insérer l'heure courante : Ctrl+Maj+:</t>
  </si>
  <si>
    <t>Verrouillage cellule/feuille</t>
  </si>
  <si>
    <t>Pour verrouiller/dévérouiller une cellule (seulement actif si la feuille est vérouillée) : clique droit/format de cellule/Protection</t>
  </si>
  <si>
    <t xml:space="preserve">Pour verrouiller/dévérouiller une feuille : menu Révision/Protégerla feuille-ôter la protection </t>
  </si>
  <si>
    <t>Mot de passe pour dévérouiller les feuilles si présent : vivelamedia /pas obligatoire de mettre un mot de passe</t>
  </si>
  <si>
    <t>Formule avec du texte</t>
  </si>
  <si>
    <t>Si on recopie du texte à l'aide d'une formule, parfois la formule =… ne se "calcule" pas mais s'écrit tel quel dans la cellule, remède :</t>
  </si>
  <si>
    <t xml:space="preserve"> - selectionner la cellule de destination</t>
  </si>
  <si>
    <t xml:space="preserve"> - Nombre/Format/ standard (le =… est toujours affiché dans la cellule)</t>
  </si>
  <si>
    <t xml:space="preserve"> - appuyer sur F2 puis Enter</t>
  </si>
  <si>
    <t xml:space="preserve"> - Nombre/Format/ =&gt; à choix</t>
  </si>
  <si>
    <t>https://support.microsoft.com/fr-fr/topic/la-cellule-li%C3%A9e-%C3%A0-une-cellule-de-texte-indique-une-formule-non-value-a9732194-1602-9372-f2fc-c0259f2f931c</t>
  </si>
  <si>
    <t>Figer une zone de la feuille</t>
  </si>
  <si>
    <t>Menu Affichage, Figer les volets (soit par ligne, colonne ou les 2 =&gt; figer les volets en sélectionnant la première cellule qui va dérouler verticalement ou horizontalement)</t>
  </si>
  <si>
    <t>Attention</t>
  </si>
  <si>
    <t>Cléo Forclaz</t>
  </si>
  <si>
    <t>Jaccobi</t>
  </si>
  <si>
    <t>Alain</t>
  </si>
  <si>
    <t>Forclaz</t>
  </si>
  <si>
    <t>Cléo</t>
  </si>
  <si>
    <t>Pézeril</t>
  </si>
  <si>
    <t>Mathieu</t>
  </si>
  <si>
    <t>Coach</t>
  </si>
  <si>
    <t>Client</t>
  </si>
  <si>
    <t>Élève</t>
  </si>
  <si>
    <t>Webmaster</t>
  </si>
  <si>
    <t>Designer</t>
  </si>
  <si>
    <t>Suppervision</t>
  </si>
  <si>
    <t>Site emprunt multimédia</t>
  </si>
  <si>
    <t>Administration</t>
  </si>
  <si>
    <t>Séances &amp; suivi coach</t>
  </si>
  <si>
    <t>EN COURS</t>
  </si>
  <si>
    <t>x</t>
  </si>
  <si>
    <t>Documents de gestion (PV, organigramme, cahier des charges, devis, facturation)</t>
  </si>
  <si>
    <t>Design /Preview</t>
  </si>
  <si>
    <t>Moodboard</t>
  </si>
  <si>
    <t>A FAIRE</t>
  </si>
  <si>
    <t>Croquis</t>
  </si>
  <si>
    <t>WireFrame</t>
  </si>
  <si>
    <t>Base de données</t>
  </si>
  <si>
    <t>Analyse des colonnes de l'Excel existant à respecter</t>
  </si>
  <si>
    <t>Conception des tables (élèves, matériel, emprunts, emplacements/armoires)</t>
  </si>
  <si>
    <t>Migration des données Excel → base de données</t>
  </si>
  <si>
    <t>Code</t>
  </si>
  <si>
    <t>Authentification &amp; rôles (Élève/Prof/Admin) + token lié au compte élève</t>
  </si>
  <si>
    <t>Règles d'emprunt par rôle (limite élève, illimité Prof, durée prolongée Prof)</t>
  </si>
  <si>
    <t>Calendrier Admin (vue globale + historique des emprunts)</t>
  </si>
  <si>
    <t>Calendrier Prof/Élève (matériel emprunté, durée)</t>
  </si>
  <si>
    <t>Gestion des emplacements/armoires (visible Admin uniquement)</t>
  </si>
  <si>
    <t>Rappels automatiques (site + email) pour le retour du matériel</t>
  </si>
  <si>
    <t>Page archive par année (fiche, date d'emprunt, date de retour)</t>
  </si>
  <si>
    <t>Photos du matériel + optimisation UI</t>
  </si>
  <si>
    <t>Structure Html/CSS &amp; logique JS</t>
  </si>
  <si>
    <t>Rendu au client</t>
  </si>
  <si>
    <t>Mise en production de la V1 (hébergement du site existant)</t>
  </si>
  <si>
    <t>Rédaction du README</t>
  </si>
  <si>
    <t>Tests</t>
  </si>
  <si>
    <t>Achevement</t>
  </si>
  <si>
    <t>Planche de présentation</t>
  </si>
  <si>
    <t>Archivage</t>
  </si>
  <si>
    <t>Mathieu Pézeril envoie l'Excel, les photos, le site et la base de données du TPI ainsi que son propre site/BD. Alain Jaccobi donne l'accès au dossier SharePoint. PV rédigé par Cléo Forclaz. A définir la semaine prochaine : la charge horaire totale du projet.</t>
  </si>
  <si>
    <t>Sainte-Croix</t>
  </si>
  <si>
    <t>Envoyer l'Excel, les photos et les anciens sites/BD des TPI</t>
  </si>
  <si>
    <t>Mathieu Pézeril</t>
  </si>
  <si>
    <t>1</t>
  </si>
  <si>
    <t>Donner l'accès au dossier SharePoint</t>
  </si>
  <si>
    <t>Alain Jaccobi</t>
  </si>
  <si>
    <t>Définir la charge horaire totale du projet</t>
  </si>
  <si>
    <t>TERMINE.E</t>
  </si>
  <si>
    <t>Scéance client</t>
  </si>
  <si>
    <t>Documents de gestion</t>
  </si>
  <si>
    <t>Cahier des charges, planif</t>
  </si>
  <si>
    <t>PV, Planif, devis</t>
  </si>
  <si>
    <t>Repo Git Hub</t>
  </si>
  <si>
    <t>Création du Repo et coup d'œil des fichiers</t>
  </si>
  <si>
    <t>PV</t>
  </si>
  <si>
    <t>mer 30 sept 26</t>
  </si>
  <si>
    <t>Affichage</t>
  </si>
  <si>
    <t>Tentative d'affichage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</si>
</sst>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 #,##0.00_-;_-* &quot;-&quot;??_-;_-@_-"/>
    <numFmt numFmtId="165" formatCode="ddd\ dd\ mmm\ yy"/>
    <numFmt numFmtId="166" formatCode="[h]:mm;@"/>
    <numFmt numFmtId="167" formatCode="&quot;semaine&quot;\ 0"/>
    <numFmt numFmtId="168" formatCode="General\ &quot;min&quot;"/>
    <numFmt numFmtId="169" formatCode="hh/mm&quot; h&quot;;@"/>
    <numFmt numFmtId="170" formatCode="[h]&quot; h &quot;mm;@"/>
    <numFmt numFmtId="171" formatCode="&quot; Total A FAIRE&quot;\ \(0%\)"/>
    <numFmt numFmtId="172" formatCode="&quot; Total EN COURS&quot;\ \(0%\)"/>
    <numFmt numFmtId="173" formatCode="&quot;Total TERMINEE&quot;\ \(0%\)"/>
    <numFmt numFmtId="174" formatCode="&quot;sur&quot;\ 0"/>
    <numFmt numFmtId="175" formatCode="ddd\ dd\ mmmm\ yyyy"/>
    <numFmt numFmtId="176" formatCode="ddd\ d"/>
    <numFmt numFmtId="177" formatCode="d\ mmm"/>
  </numFmts>
  <fonts count="69" x14ac:knownFonts="1">
    <font>
      <sz val="11"/>
      <color theme="1"/>
      <name val="Calibri"/>
      <family val="2"/>
      <scheme val="minor"/>
    </font>
    <font>
      <sz val="14"/>
      <color theme="1"/>
      <name val="Calibri"/>
      <family val="2"/>
      <scheme val="minor"/>
    </font>
    <font>
      <sz val="20"/>
      <color theme="1"/>
      <name val="Calibri"/>
      <family val="2"/>
      <scheme val="minor"/>
    </font>
    <font>
      <sz val="8"/>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
      <sz val="11"/>
      <color rgb="FFFF0000"/>
      <name val="Calibri"/>
      <family val="2"/>
      <scheme val="minor"/>
    </font>
    <font>
      <sz val="11"/>
      <color rgb="FF00B050"/>
      <name val="Calibri"/>
      <family val="2"/>
      <scheme val="minor"/>
    </font>
    <font>
      <sz val="11"/>
      <color rgb="FF00B050"/>
      <name val="Symbol"/>
      <family val="1"/>
      <charset val="2"/>
    </font>
    <font>
      <sz val="11"/>
      <color rgb="FF00B050"/>
      <name val="Calibri"/>
      <family val="2"/>
    </font>
    <font>
      <sz val="10"/>
      <name val="Arial"/>
      <family val="2"/>
    </font>
    <font>
      <b/>
      <sz val="12"/>
      <color theme="1"/>
      <name val="Arial"/>
      <family val="2"/>
    </font>
    <font>
      <sz val="12"/>
      <color theme="1"/>
      <name val="Arial"/>
      <family val="2"/>
    </font>
    <font>
      <sz val="12"/>
      <name val="Arial"/>
      <family val="2"/>
    </font>
    <font>
      <b/>
      <u/>
      <sz val="12"/>
      <color rgb="FFFF0000"/>
      <name val="Arial"/>
      <family val="2"/>
    </font>
    <font>
      <b/>
      <sz val="12"/>
      <color rgb="FFFF0000"/>
      <name val="Arial"/>
      <family val="2"/>
    </font>
    <font>
      <b/>
      <sz val="12"/>
      <name val="Arial"/>
      <family val="2"/>
    </font>
    <font>
      <sz val="8"/>
      <color rgb="FFFF0000"/>
      <name val="Arial"/>
      <family val="2"/>
    </font>
    <font>
      <b/>
      <sz val="10"/>
      <name val="Arial"/>
      <family val="2"/>
    </font>
    <font>
      <b/>
      <sz val="9"/>
      <name val="Arial"/>
      <family val="2"/>
    </font>
    <font>
      <sz val="8"/>
      <name val="Arial"/>
      <family val="2"/>
    </font>
    <font>
      <sz val="9"/>
      <name val="Arial"/>
      <family val="2"/>
    </font>
    <font>
      <sz val="10"/>
      <color theme="0" tint="-0.499984740745262"/>
      <name val="Arial"/>
      <family val="2"/>
    </font>
    <font>
      <sz val="8"/>
      <color theme="0" tint="-0.499984740745262"/>
      <name val="Arial"/>
      <family val="2"/>
    </font>
    <font>
      <b/>
      <sz val="9"/>
      <color indexed="81"/>
      <name val="Tahoma"/>
      <family val="2"/>
    </font>
    <font>
      <sz val="9"/>
      <color indexed="81"/>
      <name val="Tahoma"/>
      <family val="2"/>
    </font>
    <font>
      <sz val="20"/>
      <name val="Arial"/>
      <family val="2"/>
    </font>
    <font>
      <sz val="12"/>
      <color rgb="FFFF0000"/>
      <name val="Calibri"/>
      <family val="2"/>
      <scheme val="minor"/>
    </font>
    <font>
      <sz val="9"/>
      <color theme="1"/>
      <name val="Calibri"/>
      <family val="2"/>
      <scheme val="minor"/>
    </font>
    <font>
      <b/>
      <sz val="11"/>
      <color rgb="FFFF0000"/>
      <name val="Calibri"/>
      <family val="2"/>
      <scheme val="minor"/>
    </font>
    <font>
      <sz val="10"/>
      <color rgb="FFFF0000"/>
      <name val="Calibri"/>
      <family val="2"/>
      <scheme val="minor"/>
    </font>
    <font>
      <u/>
      <sz val="11"/>
      <color theme="10"/>
      <name val="Calibri"/>
      <family val="2"/>
      <scheme val="minor"/>
    </font>
    <font>
      <b/>
      <sz val="11"/>
      <color theme="0"/>
      <name val="Calibri"/>
      <family val="2"/>
      <scheme val="minor"/>
    </font>
    <font>
      <sz val="14"/>
      <color theme="1"/>
      <name val="Arial"/>
      <family val="2"/>
    </font>
    <font>
      <b/>
      <sz val="14"/>
      <color theme="1"/>
      <name val="Calibri"/>
      <family val="2"/>
      <scheme val="minor"/>
    </font>
    <font>
      <sz val="14"/>
      <name val="Calibri"/>
      <family val="2"/>
      <scheme val="minor"/>
    </font>
    <font>
      <b/>
      <sz val="14"/>
      <color rgb="FFFF0000"/>
      <name val="Calibri"/>
      <family val="2"/>
      <scheme val="minor"/>
    </font>
    <font>
      <b/>
      <sz val="14"/>
      <name val="Calibri"/>
      <family val="2"/>
      <scheme val="minor"/>
    </font>
    <font>
      <sz val="20"/>
      <color theme="1"/>
      <name val="Arial"/>
      <family val="2"/>
    </font>
    <font>
      <sz val="11"/>
      <color theme="1"/>
      <name val="Arial"/>
      <family val="2"/>
    </font>
    <font>
      <sz val="16"/>
      <color theme="1"/>
      <name val="Arial"/>
      <family val="2"/>
    </font>
    <font>
      <sz val="22"/>
      <color theme="1"/>
      <name val="Arial"/>
      <family val="2"/>
    </font>
    <font>
      <sz val="11"/>
      <color rgb="FF00B050"/>
      <name val="Arial"/>
      <family val="2"/>
    </font>
    <font>
      <sz val="8"/>
      <color theme="1"/>
      <name val="Arial"/>
      <family val="2"/>
    </font>
    <font>
      <sz val="11"/>
      <color rgb="FF0070C0"/>
      <name val="Calibri"/>
      <family val="2"/>
      <scheme val="minor"/>
    </font>
    <font>
      <b/>
      <sz val="10"/>
      <color rgb="FFFF0000"/>
      <name val="Arial"/>
      <family val="2"/>
    </font>
    <font>
      <sz val="7"/>
      <name val="Arial"/>
      <family val="2"/>
    </font>
    <font>
      <sz val="10"/>
      <color theme="0" tint="-0.34998626667073579"/>
      <name val="Arial"/>
      <family val="2"/>
    </font>
    <font>
      <sz val="10"/>
      <color theme="0"/>
      <name val="Arial"/>
      <family val="2"/>
    </font>
    <font>
      <sz val="11"/>
      <color theme="0"/>
      <name val="Calibri"/>
      <family val="2"/>
      <scheme val="minor"/>
    </font>
    <font>
      <sz val="14"/>
      <color theme="0" tint="-0.249977111117893"/>
      <name val="Arial"/>
      <family val="2"/>
    </font>
    <font>
      <sz val="16"/>
      <color theme="0" tint="-0.249977111117893"/>
      <name val="Arial"/>
      <family val="2"/>
    </font>
    <font>
      <sz val="14"/>
      <color theme="0" tint="-0.249977111117893"/>
      <name val="Calibri"/>
      <family val="2"/>
      <scheme val="minor"/>
    </font>
    <font>
      <sz val="10"/>
      <color rgb="FFFF0000"/>
      <name val="Arial"/>
      <family val="2"/>
    </font>
    <font>
      <i/>
      <sz val="11"/>
      <color rgb="FF0070C0"/>
      <name val="Calibri"/>
      <family val="2"/>
      <scheme val="minor"/>
    </font>
    <font>
      <sz val="12"/>
      <color theme="0" tint="-0.249977111117893"/>
      <name val="Calibri"/>
      <family val="2"/>
      <scheme val="minor"/>
    </font>
    <font>
      <b/>
      <sz val="7"/>
      <name val="Arial"/>
      <family val="2"/>
    </font>
    <font>
      <sz val="11"/>
      <name val="Calibri"/>
      <family val="2"/>
      <scheme val="minor"/>
    </font>
    <font>
      <sz val="24"/>
      <color rgb="FFFF0000"/>
      <name val="Calibri"/>
      <family val="2"/>
      <scheme val="minor"/>
    </font>
    <font>
      <sz val="10"/>
      <color rgb="FF00B050"/>
      <name val="Arial"/>
      <family val="2"/>
    </font>
    <font>
      <sz val="10"/>
      <color rgb="FF0070C0"/>
      <name val="Arial"/>
      <family val="2"/>
    </font>
    <font>
      <sz val="10"/>
      <color rgb="FF00B050"/>
      <name val="Calibri"/>
      <family val="2"/>
      <scheme val="minor"/>
    </font>
    <font>
      <sz val="10"/>
      <color rgb="FF0070C0"/>
      <name val="Calibri"/>
      <family val="2"/>
      <scheme val="minor"/>
    </font>
    <font>
      <sz val="10"/>
      <color rgb="FF7030A0"/>
      <name val="Calibri"/>
      <family val="2"/>
      <scheme val="minor"/>
    </font>
    <font>
      <sz val="18"/>
      <color theme="1"/>
      <name val="Arial"/>
      <family val="2"/>
    </font>
    <font>
      <sz val="10"/>
      <name val="Calibri"/>
      <family val="2"/>
      <scheme val="minor"/>
    </font>
    <font>
      <b/>
      <sz val="12"/>
      <color rgb="FF0070C0"/>
      <name val="Calibri"/>
      <family val="2"/>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7C80"/>
        <bgColor indexed="64"/>
      </patternFill>
    </fill>
    <fill>
      <patternFill patternType="solid">
        <fgColor rgb="FFC00000"/>
        <bgColor indexed="64"/>
      </patternFill>
    </fill>
    <fill>
      <patternFill patternType="solid">
        <fgColor rgb="FF92D050"/>
        <bgColor indexed="64"/>
      </patternFill>
    </fill>
    <fill>
      <patternFill patternType="solid">
        <fgColor rgb="FF00B050"/>
        <bgColor indexed="64"/>
      </patternFill>
    </fill>
    <fill>
      <patternFill patternType="solid">
        <fgColor rgb="FF0070C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7" tint="0.59999389629810485"/>
        <bgColor indexed="64"/>
      </patternFill>
    </fill>
    <fill>
      <patternFill patternType="solid">
        <fgColor rgb="FFFFFF99"/>
        <bgColor indexed="64"/>
      </patternFill>
    </fill>
    <fill>
      <patternFill patternType="solid">
        <fgColor rgb="FFFFFFCC"/>
        <bgColor indexed="64"/>
      </patternFill>
    </fill>
    <fill>
      <patternFill patternType="solid">
        <fgColor rgb="FFFFFFCC"/>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6">
    <xf numFmtId="0" fontId="0" fillId="0" borderId="0"/>
    <xf numFmtId="164" fontId="6" fillId="0" borderId="0" applyFont="0" applyFill="0" applyBorder="0" applyAlignment="0" applyProtection="0"/>
    <xf numFmtId="9" fontId="6" fillId="0" borderId="0" applyFont="0" applyFill="0" applyBorder="0" applyAlignment="0" applyProtection="0"/>
    <xf numFmtId="0" fontId="11" fillId="0" borderId="0"/>
    <xf numFmtId="9" fontId="11" fillId="0" borderId="0" applyFont="0" applyFill="0" applyBorder="0" applyAlignment="0" applyProtection="0"/>
    <xf numFmtId="0" fontId="32" fillId="0" borderId="0" applyNumberFormat="0" applyFill="0" applyBorder="0" applyAlignment="0" applyProtection="0"/>
  </cellStyleXfs>
  <cellXfs count="485">
    <xf numFmtId="0" fontId="0" fillId="0" borderId="0" xfId="0"/>
    <xf numFmtId="0" fontId="1" fillId="0" borderId="0" xfId="0" applyFont="1"/>
    <xf numFmtId="165" fontId="0" fillId="0" borderId="0" xfId="0" applyNumberFormat="1"/>
    <xf numFmtId="20" fontId="0" fillId="0" borderId="0" xfId="0" applyNumberFormat="1"/>
    <xf numFmtId="0" fontId="2" fillId="0" borderId="0" xfId="0" applyFont="1"/>
    <xf numFmtId="0" fontId="0" fillId="0" borderId="1" xfId="0" applyBorder="1"/>
    <xf numFmtId="0" fontId="5" fillId="0" borderId="0" xfId="0" applyFont="1"/>
    <xf numFmtId="166" fontId="0" fillId="0" borderId="0" xfId="0" applyNumberFormat="1" applyAlignment="1">
      <alignment horizontal="center"/>
    </xf>
    <xf numFmtId="166" fontId="5" fillId="0" borderId="0" xfId="0" applyNumberFormat="1" applyFont="1" applyAlignment="1">
      <alignment horizontal="center"/>
    </xf>
    <xf numFmtId="166" fontId="0" fillId="0" borderId="6" xfId="0" applyNumberFormat="1" applyBorder="1" applyAlignment="1">
      <alignment horizontal="center"/>
    </xf>
    <xf numFmtId="166" fontId="0" fillId="0" borderId="9" xfId="0" applyNumberFormat="1" applyBorder="1" applyAlignment="1">
      <alignment horizontal="center"/>
    </xf>
    <xf numFmtId="166" fontId="0" fillId="0" borderId="12" xfId="0" applyNumberFormat="1" applyBorder="1" applyAlignment="1">
      <alignment horizontal="center"/>
    </xf>
    <xf numFmtId="166" fontId="0" fillId="0" borderId="4" xfId="0" applyNumberFormat="1" applyBorder="1" applyAlignment="1">
      <alignment horizontal="center"/>
    </xf>
    <xf numFmtId="166" fontId="0" fillId="0" borderId="14" xfId="0" applyNumberFormat="1" applyBorder="1" applyAlignment="1">
      <alignment horizontal="center"/>
    </xf>
    <xf numFmtId="166" fontId="0" fillId="0" borderId="16" xfId="0" applyNumberFormat="1" applyBorder="1" applyAlignment="1">
      <alignment horizontal="center"/>
    </xf>
    <xf numFmtId="166" fontId="0" fillId="0" borderId="17" xfId="0" applyNumberFormat="1" applyBorder="1" applyAlignment="1">
      <alignment horizontal="center"/>
    </xf>
    <xf numFmtId="0" fontId="0" fillId="0" borderId="15" xfId="0" applyBorder="1" applyAlignment="1">
      <alignment horizontal="right"/>
    </xf>
    <xf numFmtId="0" fontId="4" fillId="0" borderId="2" xfId="0" applyFont="1" applyBorder="1" applyAlignment="1">
      <alignment horizontal="left"/>
    </xf>
    <xf numFmtId="0" fontId="4" fillId="0" borderId="11" xfId="0" applyFont="1" applyBorder="1" applyAlignment="1">
      <alignment horizontal="left"/>
    </xf>
    <xf numFmtId="0" fontId="0" fillId="0" borderId="0" xfId="0" applyAlignment="1">
      <alignment horizontal="left"/>
    </xf>
    <xf numFmtId="0" fontId="4" fillId="0" borderId="0" xfId="0" applyFont="1"/>
    <xf numFmtId="20" fontId="4" fillId="0" borderId="0" xfId="0" applyNumberFormat="1" applyFont="1"/>
    <xf numFmtId="9" fontId="0" fillId="0" borderId="0" xfId="2" applyFont="1" applyAlignment="1">
      <alignment horizontal="center"/>
    </xf>
    <xf numFmtId="0" fontId="8" fillId="0" borderId="0" xfId="0" applyFont="1"/>
    <xf numFmtId="0" fontId="11" fillId="0" borderId="0" xfId="3"/>
    <xf numFmtId="0" fontId="21" fillId="0" borderId="0" xfId="3" applyFont="1"/>
    <xf numFmtId="0" fontId="11" fillId="3" borderId="50" xfId="3" applyFill="1" applyBorder="1" applyProtection="1">
      <protection locked="0"/>
    </xf>
    <xf numFmtId="0" fontId="11" fillId="0" borderId="4" xfId="3" applyBorder="1" applyAlignment="1" applyProtection="1">
      <alignment horizontal="center" vertical="center"/>
      <protection locked="0"/>
    </xf>
    <xf numFmtId="0" fontId="11" fillId="0" borderId="2" xfId="3" applyBorder="1" applyAlignment="1" applyProtection="1">
      <alignment horizontal="center" vertical="center"/>
      <protection locked="0"/>
    </xf>
    <xf numFmtId="0" fontId="11" fillId="0" borderId="3" xfId="3" applyBorder="1" applyAlignment="1" applyProtection="1">
      <alignment horizontal="center" vertical="center"/>
      <protection locked="0"/>
    </xf>
    <xf numFmtId="0" fontId="11" fillId="0" borderId="10" xfId="3" applyBorder="1" applyAlignment="1" applyProtection="1">
      <alignment horizontal="center" vertical="center"/>
      <protection locked="0"/>
    </xf>
    <xf numFmtId="0" fontId="11" fillId="0" borderId="28" xfId="3" applyBorder="1" applyAlignment="1" applyProtection="1">
      <alignment horizontal="center" vertical="center"/>
      <protection locked="0"/>
    </xf>
    <xf numFmtId="0" fontId="11" fillId="0" borderId="29" xfId="3" applyBorder="1" applyAlignment="1" applyProtection="1">
      <alignment horizontal="center" vertical="center"/>
      <protection locked="0"/>
    </xf>
    <xf numFmtId="0" fontId="11" fillId="4" borderId="25" xfId="3" applyFill="1" applyBorder="1" applyProtection="1">
      <protection locked="0"/>
    </xf>
    <xf numFmtId="0" fontId="11" fillId="3" borderId="51" xfId="3" applyFill="1" applyBorder="1" applyProtection="1">
      <protection locked="0"/>
    </xf>
    <xf numFmtId="0" fontId="11" fillId="4" borderId="26" xfId="3" applyFill="1" applyBorder="1" applyProtection="1">
      <protection locked="0"/>
    </xf>
    <xf numFmtId="0" fontId="11" fillId="0" borderId="7" xfId="3" applyBorder="1" applyAlignment="1" applyProtection="1">
      <alignment horizontal="center" vertical="center"/>
      <protection locked="0"/>
    </xf>
    <xf numFmtId="0" fontId="11" fillId="0" borderId="8" xfId="3" applyBorder="1" applyAlignment="1" applyProtection="1">
      <alignment horizontal="center" vertical="center"/>
      <protection locked="0"/>
    </xf>
    <xf numFmtId="0" fontId="11" fillId="0" borderId="9" xfId="3" applyBorder="1" applyAlignment="1" applyProtection="1">
      <alignment horizontal="center" vertical="center"/>
      <protection locked="0"/>
    </xf>
    <xf numFmtId="171" fontId="11" fillId="5" borderId="0" xfId="4" applyNumberFormat="1" applyFont="1" applyFill="1" applyAlignment="1" applyProtection="1">
      <alignment horizontal="right"/>
    </xf>
    <xf numFmtId="0" fontId="0" fillId="3" borderId="18" xfId="0" applyFill="1" applyBorder="1"/>
    <xf numFmtId="166" fontId="0" fillId="3" borderId="22" xfId="0" applyNumberFormat="1" applyFill="1" applyBorder="1" applyAlignment="1">
      <alignment horizontal="center"/>
    </xf>
    <xf numFmtId="166" fontId="0" fillId="3" borderId="19" xfId="0" applyNumberFormat="1" applyFill="1" applyBorder="1" applyAlignment="1">
      <alignment horizontal="center"/>
    </xf>
    <xf numFmtId="0" fontId="0" fillId="3" borderId="7" xfId="0" applyFill="1" applyBorder="1"/>
    <xf numFmtId="166" fontId="0" fillId="3" borderId="9" xfId="0" applyNumberFormat="1" applyFill="1" applyBorder="1" applyAlignment="1">
      <alignment horizontal="center"/>
    </xf>
    <xf numFmtId="0" fontId="0" fillId="0" borderId="0" xfId="0" applyAlignment="1">
      <alignment horizontal="center"/>
    </xf>
    <xf numFmtId="20" fontId="0" fillId="0" borderId="33" xfId="0" applyNumberFormat="1" applyBorder="1"/>
    <xf numFmtId="0" fontId="29" fillId="0" borderId="30" xfId="0" applyFont="1" applyBorder="1" applyAlignment="1">
      <alignment horizontal="center" textRotation="90" wrapText="1"/>
    </xf>
    <xf numFmtId="0" fontId="7" fillId="2" borderId="0" xfId="0" applyFont="1" applyFill="1" applyAlignment="1">
      <alignment horizontal="center"/>
    </xf>
    <xf numFmtId="0" fontId="0" fillId="0" borderId="5" xfId="0" applyBorder="1"/>
    <xf numFmtId="0" fontId="0" fillId="0" borderId="7" xfId="0" applyBorder="1"/>
    <xf numFmtId="0" fontId="11" fillId="0" borderId="54" xfId="3" applyBorder="1" applyAlignment="1" applyProtection="1">
      <alignment horizontal="center" vertical="center"/>
      <protection locked="0"/>
    </xf>
    <xf numFmtId="0" fontId="11" fillId="0" borderId="48" xfId="3" applyBorder="1" applyAlignment="1" applyProtection="1">
      <alignment horizontal="center" vertical="center"/>
      <protection locked="0"/>
    </xf>
    <xf numFmtId="172" fontId="11" fillId="11" borderId="0" xfId="4" applyNumberFormat="1" applyFont="1" applyFill="1" applyAlignment="1" applyProtection="1">
      <alignment horizontal="right"/>
    </xf>
    <xf numFmtId="173" fontId="11" fillId="7" borderId="0" xfId="4" applyNumberFormat="1" applyFont="1" applyFill="1" applyAlignment="1" applyProtection="1">
      <alignment horizontal="right"/>
    </xf>
    <xf numFmtId="0" fontId="0" fillId="0" borderId="0" xfId="0" applyAlignment="1">
      <alignment horizontal="right"/>
    </xf>
    <xf numFmtId="20" fontId="4" fillId="0" borderId="0" xfId="0" applyNumberFormat="1" applyFont="1" applyAlignment="1">
      <alignment horizontal="right" vertical="center" indent="1"/>
    </xf>
    <xf numFmtId="170" fontId="4" fillId="13" borderId="23" xfId="0" applyNumberFormat="1" applyFont="1" applyFill="1" applyBorder="1" applyAlignment="1">
      <alignment horizontal="center" textRotation="90"/>
    </xf>
    <xf numFmtId="170" fontId="4" fillId="4" borderId="20" xfId="0" applyNumberFormat="1" applyFont="1" applyFill="1" applyBorder="1" applyAlignment="1">
      <alignment horizontal="center" textRotation="90"/>
    </xf>
    <xf numFmtId="170" fontId="4" fillId="4" borderId="34" xfId="0" applyNumberFormat="1" applyFont="1" applyFill="1" applyBorder="1" applyAlignment="1">
      <alignment horizontal="center" textRotation="90"/>
    </xf>
    <xf numFmtId="170" fontId="4" fillId="4" borderId="21" xfId="0" applyNumberFormat="1" applyFont="1" applyFill="1" applyBorder="1" applyAlignment="1">
      <alignment horizontal="center" textRotation="90"/>
    </xf>
    <xf numFmtId="20" fontId="7" fillId="0" borderId="0" xfId="0" applyNumberFormat="1" applyFont="1" applyAlignment="1">
      <alignment horizontal="right"/>
    </xf>
    <xf numFmtId="20" fontId="7" fillId="0" borderId="0" xfId="0" applyNumberFormat="1" applyFont="1"/>
    <xf numFmtId="0" fontId="7" fillId="0" borderId="0" xfId="0" applyFont="1" applyAlignment="1">
      <alignment horizontal="center"/>
    </xf>
    <xf numFmtId="166" fontId="30" fillId="2" borderId="0" xfId="0" applyNumberFormat="1" applyFont="1" applyFill="1"/>
    <xf numFmtId="0" fontId="29" fillId="0" borderId="15" xfId="0" applyFont="1" applyBorder="1" applyAlignment="1">
      <alignment horizontal="center" textRotation="90" wrapText="1"/>
    </xf>
    <xf numFmtId="0" fontId="29" fillId="0" borderId="17" xfId="0" applyFont="1" applyBorder="1" applyAlignment="1">
      <alignment horizontal="center" textRotation="90" wrapText="1"/>
    </xf>
    <xf numFmtId="20" fontId="0" fillId="0" borderId="32" xfId="0" applyNumberFormat="1" applyBorder="1"/>
    <xf numFmtId="20" fontId="4" fillId="0" borderId="34" xfId="0" applyNumberFormat="1" applyFont="1" applyBorder="1" applyAlignment="1">
      <alignment horizontal="center" wrapText="1"/>
    </xf>
    <xf numFmtId="0" fontId="4" fillId="0" borderId="21" xfId="0" applyFont="1" applyBorder="1" applyAlignment="1">
      <alignment horizontal="center" wrapText="1"/>
    </xf>
    <xf numFmtId="0" fontId="0" fillId="0" borderId="2" xfId="1" applyNumberFormat="1" applyFont="1" applyBorder="1"/>
    <xf numFmtId="9" fontId="0" fillId="0" borderId="4" xfId="2" applyFont="1" applyBorder="1" applyAlignment="1">
      <alignment horizontal="right"/>
    </xf>
    <xf numFmtId="0" fontId="0" fillId="0" borderId="5" xfId="1" applyNumberFormat="1" applyFont="1" applyBorder="1"/>
    <xf numFmtId="9" fontId="0" fillId="0" borderId="6" xfId="2" applyFont="1" applyBorder="1" applyAlignment="1">
      <alignment horizontal="right"/>
    </xf>
    <xf numFmtId="9" fontId="0" fillId="0" borderId="9" xfId="2" applyFont="1" applyBorder="1" applyAlignment="1">
      <alignment horizontal="right"/>
    </xf>
    <xf numFmtId="0" fontId="31" fillId="0" borderId="0" xfId="0" applyFont="1"/>
    <xf numFmtId="0" fontId="32" fillId="0" borderId="0" xfId="5"/>
    <xf numFmtId="9" fontId="11" fillId="0" borderId="50" xfId="2" applyFont="1" applyFill="1" applyBorder="1" applyAlignment="1" applyProtection="1">
      <alignment horizontal="center"/>
    </xf>
    <xf numFmtId="0" fontId="6" fillId="0" borderId="15" xfId="2" applyNumberFormat="1" applyFont="1" applyBorder="1"/>
    <xf numFmtId="9" fontId="6" fillId="0" borderId="17" xfId="2" applyFont="1" applyBorder="1" applyAlignment="1">
      <alignment horizontal="center"/>
    </xf>
    <xf numFmtId="9" fontId="6" fillId="0" borderId="0" xfId="2" applyFont="1"/>
    <xf numFmtId="166" fontId="0" fillId="0" borderId="23" xfId="0" applyNumberFormat="1" applyBorder="1" applyAlignment="1">
      <alignment horizontal="center"/>
    </xf>
    <xf numFmtId="166" fontId="0" fillId="0" borderId="23" xfId="0" applyNumberFormat="1" applyBorder="1"/>
    <xf numFmtId="166" fontId="0" fillId="0" borderId="44" xfId="0" applyNumberFormat="1" applyBorder="1"/>
    <xf numFmtId="0" fontId="33" fillId="0" borderId="20" xfId="0" applyFont="1" applyBorder="1"/>
    <xf numFmtId="166" fontId="33" fillId="0" borderId="34" xfId="0" applyNumberFormat="1" applyFont="1" applyBorder="1" applyAlignment="1">
      <alignment horizontal="center"/>
    </xf>
    <xf numFmtId="166" fontId="33" fillId="0" borderId="21" xfId="0" applyNumberFormat="1" applyFont="1" applyBorder="1" applyAlignment="1">
      <alignment horizontal="center"/>
    </xf>
    <xf numFmtId="0" fontId="34" fillId="0" borderId="0" xfId="3" applyFont="1"/>
    <xf numFmtId="0" fontId="34" fillId="0" borderId="0" xfId="3" applyFont="1" applyAlignment="1">
      <alignment horizontal="left"/>
    </xf>
    <xf numFmtId="0" fontId="34" fillId="0" borderId="0" xfId="0" applyFont="1"/>
    <xf numFmtId="165" fontId="39" fillId="0" borderId="0" xfId="0" applyNumberFormat="1" applyFont="1"/>
    <xf numFmtId="165" fontId="40" fillId="0" borderId="0" xfId="0" applyNumberFormat="1" applyFont="1"/>
    <xf numFmtId="20" fontId="40" fillId="0" borderId="0" xfId="0" applyNumberFormat="1" applyFont="1"/>
    <xf numFmtId="0" fontId="40" fillId="0" borderId="0" xfId="0" applyFont="1" applyAlignment="1">
      <alignment horizontal="center"/>
    </xf>
    <xf numFmtId="0" fontId="41" fillId="0" borderId="0" xfId="0" applyFont="1"/>
    <xf numFmtId="0" fontId="40" fillId="0" borderId="0" xfId="0" applyFont="1"/>
    <xf numFmtId="0" fontId="39" fillId="0" borderId="0" xfId="0" applyFont="1"/>
    <xf numFmtId="0" fontId="39" fillId="0" borderId="0" xfId="0" applyFont="1" applyAlignment="1">
      <alignment horizontal="center"/>
    </xf>
    <xf numFmtId="165" fontId="42" fillId="0" borderId="0" xfId="0" applyNumberFormat="1" applyFont="1"/>
    <xf numFmtId="20" fontId="42" fillId="0" borderId="0" xfId="0" applyNumberFormat="1" applyFont="1"/>
    <xf numFmtId="0" fontId="41" fillId="0" borderId="0" xfId="0" applyFont="1" applyAlignment="1">
      <alignment horizontal="right"/>
    </xf>
    <xf numFmtId="166" fontId="34" fillId="0" borderId="0" xfId="0" applyNumberFormat="1" applyFont="1" applyAlignment="1">
      <alignment horizontal="center"/>
    </xf>
    <xf numFmtId="0" fontId="43" fillId="0" borderId="0" xfId="0" applyFont="1"/>
    <xf numFmtId="0" fontId="44" fillId="0" borderId="0" xfId="0" applyFont="1"/>
    <xf numFmtId="0" fontId="0" fillId="0" borderId="0" xfId="0" applyProtection="1">
      <protection locked="0"/>
    </xf>
    <xf numFmtId="0" fontId="30" fillId="0" borderId="0" xfId="0" applyFont="1"/>
    <xf numFmtId="0" fontId="0" fillId="0" borderId="27" xfId="0" applyBorder="1" applyAlignment="1">
      <alignment vertical="center" textRotation="90"/>
    </xf>
    <xf numFmtId="0" fontId="0" fillId="0" borderId="25" xfId="0" applyBorder="1" applyAlignment="1">
      <alignment vertical="center" textRotation="90"/>
    </xf>
    <xf numFmtId="20" fontId="0" fillId="0" borderId="32" xfId="0" applyNumberFormat="1" applyBorder="1" applyAlignment="1">
      <alignment horizontal="center"/>
    </xf>
    <xf numFmtId="20" fontId="0" fillId="0" borderId="33" xfId="0" applyNumberFormat="1" applyBorder="1" applyAlignment="1">
      <alignment horizontal="center"/>
    </xf>
    <xf numFmtId="20" fontId="0" fillId="0" borderId="0" xfId="0" applyNumberFormat="1" applyAlignment="1">
      <alignment horizontal="center"/>
    </xf>
    <xf numFmtId="0" fontId="4" fillId="0" borderId="31" xfId="0" applyFont="1" applyBorder="1" applyAlignment="1">
      <alignment horizontal="center" wrapText="1"/>
    </xf>
    <xf numFmtId="165" fontId="4" fillId="0" borderId="34" xfId="0" applyNumberFormat="1" applyFont="1" applyBorder="1" applyAlignment="1">
      <alignment horizontal="center" wrapText="1"/>
    </xf>
    <xf numFmtId="20" fontId="4" fillId="0" borderId="15" xfId="0" applyNumberFormat="1" applyFont="1" applyBorder="1" applyAlignment="1">
      <alignment horizontal="center" wrapText="1"/>
    </xf>
    <xf numFmtId="20" fontId="4" fillId="0" borderId="17" xfId="0" applyNumberFormat="1" applyFont="1" applyBorder="1" applyAlignment="1">
      <alignment horizontal="center" wrapText="1"/>
    </xf>
    <xf numFmtId="0" fontId="4" fillId="0" borderId="15" xfId="0" applyFont="1" applyBorder="1" applyAlignment="1">
      <alignment horizontal="center" wrapText="1"/>
    </xf>
    <xf numFmtId="20" fontId="4" fillId="0" borderId="30" xfId="0" applyNumberFormat="1" applyFont="1" applyBorder="1" applyAlignment="1">
      <alignment horizontal="center" wrapText="1"/>
    </xf>
    <xf numFmtId="0" fontId="4" fillId="0" borderId="23" xfId="0" applyFont="1" applyBorder="1" applyAlignment="1">
      <alignment horizontal="center" wrapText="1"/>
    </xf>
    <xf numFmtId="0" fontId="4" fillId="0" borderId="34" xfId="0" applyFont="1" applyBorder="1" applyAlignment="1">
      <alignment horizontal="center" wrapText="1"/>
    </xf>
    <xf numFmtId="0" fontId="4" fillId="0" borderId="0" xfId="0" applyFont="1" applyAlignment="1">
      <alignment horizontal="center" wrapText="1"/>
    </xf>
    <xf numFmtId="0" fontId="4" fillId="0" borderId="20" xfId="0" applyFont="1" applyBorder="1" applyAlignment="1">
      <alignment horizontal="center" wrapText="1"/>
    </xf>
    <xf numFmtId="20" fontId="4" fillId="0" borderId="23" xfId="0" applyNumberFormat="1" applyFont="1" applyBorder="1" applyAlignment="1">
      <alignment horizontal="center" wrapText="1"/>
    </xf>
    <xf numFmtId="0" fontId="18" fillId="0" borderId="0" xfId="0" applyFont="1"/>
    <xf numFmtId="0" fontId="18" fillId="0" borderId="0" xfId="3" applyFont="1"/>
    <xf numFmtId="0" fontId="11" fillId="0" borderId="61" xfId="3" applyBorder="1" applyAlignment="1" applyProtection="1">
      <alignment horizontal="center" vertical="center"/>
      <protection locked="0"/>
    </xf>
    <xf numFmtId="0" fontId="27" fillId="0" borderId="0" xfId="3" applyFont="1"/>
    <xf numFmtId="0" fontId="11" fillId="0" borderId="0" xfId="3" applyAlignment="1">
      <alignment horizontal="center"/>
    </xf>
    <xf numFmtId="0" fontId="11" fillId="0" borderId="0" xfId="3" applyAlignment="1">
      <alignment horizontal="centerContinuous"/>
    </xf>
    <xf numFmtId="0" fontId="35" fillId="0" borderId="0" xfId="3" applyFont="1"/>
    <xf numFmtId="0" fontId="35" fillId="0" borderId="0" xfId="3" applyFont="1" applyAlignment="1">
      <alignment horizontal="center"/>
    </xf>
    <xf numFmtId="0" fontId="36" fillId="0" borderId="0" xfId="3" applyFont="1"/>
    <xf numFmtId="0" fontId="37" fillId="0" borderId="0" xfId="3" applyFont="1"/>
    <xf numFmtId="0" fontId="38" fillId="0" borderId="0" xfId="3" applyFont="1"/>
    <xf numFmtId="0" fontId="13" fillId="0" borderId="0" xfId="3" applyFont="1" applyAlignment="1">
      <alignment horizontal="left"/>
    </xf>
    <xf numFmtId="0" fontId="13" fillId="0" borderId="0" xfId="3" applyFont="1" applyAlignment="1">
      <alignment horizontal="right"/>
    </xf>
    <xf numFmtId="0" fontId="14" fillId="0" borderId="0" xfId="3" applyFont="1"/>
    <xf numFmtId="0" fontId="15" fillId="0" borderId="0" xfId="3" applyFont="1"/>
    <xf numFmtId="0" fontId="15" fillId="0" borderId="0" xfId="3" applyFont="1" applyAlignment="1">
      <alignment horizontal="center"/>
    </xf>
    <xf numFmtId="0" fontId="12" fillId="0" borderId="0" xfId="3" applyFont="1"/>
    <xf numFmtId="0" fontId="16" fillId="0" borderId="0" xfId="3" applyFont="1"/>
    <xf numFmtId="0" fontId="17" fillId="0" borderId="0" xfId="3" applyFont="1"/>
    <xf numFmtId="0" fontId="17" fillId="0" borderId="0" xfId="3" applyFont="1" applyAlignment="1">
      <alignment horizontal="center"/>
    </xf>
    <xf numFmtId="0" fontId="14" fillId="0" borderId="0" xfId="3" applyFont="1" applyAlignment="1">
      <alignment horizontal="center"/>
    </xf>
    <xf numFmtId="0" fontId="14" fillId="0" borderId="0" xfId="3" applyFont="1" applyAlignment="1">
      <alignment horizontal="left"/>
    </xf>
    <xf numFmtId="0" fontId="14" fillId="0" borderId="0" xfId="3" applyFont="1" applyAlignment="1">
      <alignment horizontal="right"/>
    </xf>
    <xf numFmtId="0" fontId="16" fillId="0" borderId="0" xfId="3" applyFont="1" applyAlignment="1">
      <alignment horizontal="left"/>
    </xf>
    <xf numFmtId="0" fontId="16" fillId="0" borderId="0" xfId="3" applyFont="1" applyAlignment="1">
      <alignment horizontal="center"/>
    </xf>
    <xf numFmtId="0" fontId="11" fillId="0" borderId="0" xfId="3" applyAlignment="1">
      <alignment horizontal="left"/>
    </xf>
    <xf numFmtId="0" fontId="11" fillId="0" borderId="0" xfId="3" applyAlignment="1">
      <alignment horizontal="right"/>
    </xf>
    <xf numFmtId="0" fontId="46" fillId="0" borderId="0" xfId="3" applyFont="1" applyAlignment="1">
      <alignment horizontal="left"/>
    </xf>
    <xf numFmtId="0" fontId="22" fillId="0" borderId="0" xfId="3" applyFont="1" applyAlignment="1">
      <alignment horizontal="right"/>
    </xf>
    <xf numFmtId="14" fontId="22" fillId="0" borderId="0" xfId="3" applyNumberFormat="1" applyFont="1"/>
    <xf numFmtId="0" fontId="22" fillId="0" borderId="0" xfId="3" applyFont="1" applyAlignment="1">
      <alignment horizontal="left"/>
    </xf>
    <xf numFmtId="0" fontId="19" fillId="3" borderId="36" xfId="3" applyFont="1" applyFill="1" applyBorder="1" applyAlignment="1">
      <alignment vertical="center"/>
    </xf>
    <xf numFmtId="0" fontId="19" fillId="3" borderId="23" xfId="3" applyFont="1" applyFill="1" applyBorder="1" applyAlignment="1">
      <alignment horizontal="left" vertical="center"/>
    </xf>
    <xf numFmtId="0" fontId="19" fillId="0" borderId="35" xfId="3" applyFont="1" applyBorder="1" applyAlignment="1">
      <alignment horizontal="center" vertical="center"/>
    </xf>
    <xf numFmtId="0" fontId="20" fillId="6" borderId="37" xfId="3" applyFont="1" applyFill="1" applyBorder="1" applyAlignment="1">
      <alignment horizontal="center" vertical="center"/>
    </xf>
    <xf numFmtId="0" fontId="20" fillId="12" borderId="38" xfId="3" applyFont="1" applyFill="1" applyBorder="1" applyAlignment="1">
      <alignment horizontal="center" vertical="center"/>
    </xf>
    <xf numFmtId="0" fontId="20" fillId="8" borderId="38" xfId="3" applyFont="1" applyFill="1" applyBorder="1" applyAlignment="1">
      <alignment horizontal="center" vertical="center"/>
    </xf>
    <xf numFmtId="0" fontId="20" fillId="9" borderId="38" xfId="3" applyFont="1" applyFill="1" applyBorder="1" applyAlignment="1">
      <alignment horizontal="center" vertical="center"/>
    </xf>
    <xf numFmtId="0" fontId="20" fillId="10" borderId="39" xfId="3" applyFont="1" applyFill="1" applyBorder="1" applyAlignment="1">
      <alignment horizontal="center" vertical="center"/>
    </xf>
    <xf numFmtId="0" fontId="19" fillId="0" borderId="36" xfId="3" applyFont="1" applyBorder="1" applyAlignment="1">
      <alignment horizontal="center" vertical="center"/>
    </xf>
    <xf numFmtId="0" fontId="19" fillId="0" borderId="40" xfId="3" applyFont="1" applyBorder="1" applyAlignment="1">
      <alignment horizontal="center" vertical="center"/>
    </xf>
    <xf numFmtId="0" fontId="19" fillId="0" borderId="36" xfId="3" applyFont="1" applyBorder="1" applyAlignment="1">
      <alignment horizontal="center"/>
    </xf>
    <xf numFmtId="0" fontId="19" fillId="0" borderId="40" xfId="3" applyFont="1" applyBorder="1" applyAlignment="1">
      <alignment horizontal="center"/>
    </xf>
    <xf numFmtId="0" fontId="19" fillId="3" borderId="44" xfId="3" applyFont="1" applyFill="1" applyBorder="1" applyAlignment="1">
      <alignment vertical="center"/>
    </xf>
    <xf numFmtId="0" fontId="11" fillId="4" borderId="45" xfId="3" applyFill="1" applyBorder="1" applyAlignment="1">
      <alignment horizontal="left" vertical="center"/>
    </xf>
    <xf numFmtId="0" fontId="19" fillId="0" borderId="45" xfId="3" applyFont="1" applyBorder="1" applyAlignment="1">
      <alignment horizontal="center" vertical="center"/>
    </xf>
    <xf numFmtId="0" fontId="21" fillId="0" borderId="46" xfId="3" applyFont="1" applyBorder="1" applyAlignment="1">
      <alignment horizontal="center" vertical="center"/>
    </xf>
    <xf numFmtId="0" fontId="11" fillId="0" borderId="45" xfId="3" applyBorder="1" applyAlignment="1">
      <alignment horizontal="center" vertical="center"/>
    </xf>
    <xf numFmtId="0" fontId="21" fillId="0" borderId="44" xfId="3" applyFont="1" applyBorder="1" applyAlignment="1">
      <alignment horizontal="center"/>
    </xf>
    <xf numFmtId="0" fontId="21" fillId="0" borderId="47" xfId="3" applyFont="1" applyBorder="1" applyAlignment="1">
      <alignment horizontal="center"/>
    </xf>
    <xf numFmtId="0" fontId="23" fillId="0" borderId="41" xfId="3" applyFont="1" applyBorder="1" applyAlignment="1">
      <alignment horizontal="center" vertical="center"/>
    </xf>
    <xf numFmtId="0" fontId="24" fillId="0" borderId="33" xfId="3" applyFont="1" applyBorder="1" applyAlignment="1">
      <alignment horizontal="center" vertical="center"/>
    </xf>
    <xf numFmtId="0" fontId="24" fillId="0" borderId="52" xfId="3" applyFont="1" applyBorder="1" applyAlignment="1">
      <alignment horizontal="center" vertical="center"/>
    </xf>
    <xf numFmtId="168" fontId="11" fillId="0" borderId="0" xfId="3" applyNumberFormat="1"/>
    <xf numFmtId="169" fontId="11" fillId="0" borderId="0" xfId="3" applyNumberFormat="1"/>
    <xf numFmtId="0" fontId="23" fillId="0" borderId="0" xfId="3" applyFont="1" applyAlignment="1">
      <alignment horizontal="center"/>
    </xf>
    <xf numFmtId="170" fontId="11" fillId="0" borderId="0" xfId="3" applyNumberFormat="1"/>
    <xf numFmtId="1" fontId="11" fillId="0" borderId="0" xfId="3" applyNumberFormat="1"/>
    <xf numFmtId="1" fontId="11" fillId="0" borderId="0" xfId="3" applyNumberFormat="1" applyAlignment="1">
      <alignment horizontal="center"/>
    </xf>
    <xf numFmtId="0" fontId="11" fillId="0" borderId="40" xfId="3" applyBorder="1"/>
    <xf numFmtId="174" fontId="11" fillId="0" borderId="0" xfId="3" applyNumberFormat="1" applyAlignment="1">
      <alignment horizontal="left"/>
    </xf>
    <xf numFmtId="174" fontId="11" fillId="0" borderId="0" xfId="3" applyNumberFormat="1" applyAlignment="1">
      <alignment horizontal="center"/>
    </xf>
    <xf numFmtId="9" fontId="11" fillId="0" borderId="53" xfId="2" applyFont="1" applyFill="1" applyBorder="1" applyAlignment="1" applyProtection="1">
      <alignment horizontal="center"/>
    </xf>
    <xf numFmtId="9" fontId="11" fillId="0" borderId="51" xfId="2" applyFont="1" applyFill="1" applyBorder="1" applyAlignment="1" applyProtection="1">
      <alignment horizontal="center"/>
    </xf>
    <xf numFmtId="0" fontId="11" fillId="5" borderId="0" xfId="4" applyNumberFormat="1" applyFont="1" applyFill="1" applyAlignment="1" applyProtection="1">
      <alignment horizontal="left"/>
    </xf>
    <xf numFmtId="0" fontId="11" fillId="11" borderId="0" xfId="4" applyNumberFormat="1" applyFont="1" applyFill="1" applyAlignment="1" applyProtection="1">
      <alignment horizontal="left"/>
    </xf>
    <xf numFmtId="0" fontId="11" fillId="7" borderId="0" xfId="4" applyNumberFormat="1" applyFont="1" applyFill="1" applyAlignment="1" applyProtection="1">
      <alignment horizontal="left"/>
    </xf>
    <xf numFmtId="166" fontId="0" fillId="0" borderId="47" xfId="0" applyNumberFormat="1" applyBorder="1" applyAlignment="1">
      <alignment horizontal="center"/>
    </xf>
    <xf numFmtId="166" fontId="0" fillId="0" borderId="34" xfId="0" applyNumberFormat="1" applyBorder="1" applyAlignment="1">
      <alignment horizontal="center"/>
    </xf>
    <xf numFmtId="170" fontId="0" fillId="0" borderId="0" xfId="0" applyNumberFormat="1"/>
    <xf numFmtId="0" fontId="7" fillId="0" borderId="0" xfId="0" applyFont="1"/>
    <xf numFmtId="0" fontId="20" fillId="0" borderId="44" xfId="3" applyFont="1" applyBorder="1" applyAlignment="1">
      <alignment horizontal="center"/>
    </xf>
    <xf numFmtId="170" fontId="49" fillId="0" borderId="0" xfId="3" applyNumberFormat="1" applyFont="1" applyAlignment="1">
      <alignment horizontal="center"/>
    </xf>
    <xf numFmtId="166" fontId="11" fillId="0" borderId="26" xfId="3" applyNumberFormat="1" applyBorder="1" applyAlignment="1">
      <alignment horizontal="center"/>
    </xf>
    <xf numFmtId="166" fontId="11" fillId="0" borderId="50" xfId="3" applyNumberFormat="1" applyBorder="1" applyAlignment="1">
      <alignment horizontal="center"/>
    </xf>
    <xf numFmtId="166" fontId="48" fillId="0" borderId="51" xfId="3" applyNumberFormat="1" applyFont="1" applyBorder="1" applyAlignment="1">
      <alignment horizontal="center"/>
    </xf>
    <xf numFmtId="166" fontId="11" fillId="0" borderId="7" xfId="3" applyNumberFormat="1" applyBorder="1" applyAlignment="1">
      <alignment horizontal="center"/>
    </xf>
    <xf numFmtId="166" fontId="11" fillId="0" borderId="8" xfId="3" applyNumberFormat="1" applyBorder="1" applyAlignment="1">
      <alignment horizontal="center"/>
    </xf>
    <xf numFmtId="166" fontId="11" fillId="0" borderId="9" xfId="3" applyNumberFormat="1" applyBorder="1" applyAlignment="1">
      <alignment horizontal="center"/>
    </xf>
    <xf numFmtId="166" fontId="11" fillId="0" borderId="0" xfId="3" applyNumberFormat="1"/>
    <xf numFmtId="170" fontId="11" fillId="11" borderId="57" xfId="3" applyNumberFormat="1" applyFill="1" applyBorder="1" applyAlignment="1">
      <alignment horizontal="center"/>
    </xf>
    <xf numFmtId="170" fontId="11" fillId="7" borderId="44" xfId="3" applyNumberFormat="1" applyFill="1" applyBorder="1" applyAlignment="1">
      <alignment horizontal="center"/>
    </xf>
    <xf numFmtId="170" fontId="23" fillId="11" borderId="57" xfId="3" applyNumberFormat="1" applyFont="1" applyFill="1" applyBorder="1" applyAlignment="1">
      <alignment horizontal="center"/>
    </xf>
    <xf numFmtId="0" fontId="0" fillId="0" borderId="20" xfId="0" applyBorder="1" applyAlignment="1">
      <alignment vertical="center"/>
    </xf>
    <xf numFmtId="0" fontId="0" fillId="0" borderId="34" xfId="0" applyBorder="1" applyAlignment="1">
      <alignment vertical="center"/>
    </xf>
    <xf numFmtId="0" fontId="0" fillId="0" borderId="34" xfId="0" applyBorder="1" applyAlignment="1">
      <alignment horizontal="right" vertical="center"/>
    </xf>
    <xf numFmtId="0" fontId="50" fillId="0" borderId="0" xfId="0" applyFont="1" applyAlignment="1">
      <alignment vertical="center"/>
    </xf>
    <xf numFmtId="0" fontId="0" fillId="0" borderId="0" xfId="0" applyAlignment="1">
      <alignment vertical="center"/>
    </xf>
    <xf numFmtId="0" fontId="0" fillId="0" borderId="15" xfId="0" applyBorder="1"/>
    <xf numFmtId="0" fontId="0" fillId="0" borderId="16" xfId="0" applyBorder="1"/>
    <xf numFmtId="0" fontId="51" fillId="0" borderId="0" xfId="0" applyFont="1" applyAlignment="1">
      <alignment horizontal="left"/>
    </xf>
    <xf numFmtId="0" fontId="51" fillId="0" borderId="0" xfId="0" applyFont="1"/>
    <xf numFmtId="0" fontId="52" fillId="0" borderId="0" xfId="0" applyFont="1" applyAlignment="1">
      <alignment horizontal="left"/>
    </xf>
    <xf numFmtId="0" fontId="52" fillId="0" borderId="0" xfId="0" applyFont="1"/>
    <xf numFmtId="0" fontId="53" fillId="0" borderId="0" xfId="0" applyFont="1"/>
    <xf numFmtId="0" fontId="55" fillId="0" borderId="0" xfId="0" applyFont="1"/>
    <xf numFmtId="0" fontId="4" fillId="0" borderId="30" xfId="0" applyFont="1" applyBorder="1" applyAlignment="1">
      <alignment wrapText="1"/>
    </xf>
    <xf numFmtId="170" fontId="11" fillId="5" borderId="36" xfId="3" applyNumberFormat="1" applyFill="1" applyBorder="1" applyAlignment="1">
      <alignment horizontal="center"/>
    </xf>
    <xf numFmtId="170" fontId="23" fillId="5" borderId="36" xfId="3" applyNumberFormat="1" applyFont="1" applyFill="1" applyBorder="1" applyAlignment="1">
      <alignment horizontal="center"/>
    </xf>
    <xf numFmtId="170" fontId="23" fillId="7" borderId="44" xfId="3" applyNumberFormat="1" applyFont="1" applyFill="1" applyBorder="1" applyAlignment="1">
      <alignment horizontal="center"/>
    </xf>
    <xf numFmtId="170" fontId="11" fillId="0" borderId="2" xfId="3" applyNumberFormat="1" applyBorder="1" applyAlignment="1">
      <alignment horizontal="center"/>
    </xf>
    <xf numFmtId="170" fontId="11" fillId="0" borderId="3" xfId="3" applyNumberFormat="1" applyBorder="1" applyAlignment="1">
      <alignment horizontal="center"/>
    </xf>
    <xf numFmtId="170" fontId="11" fillId="0" borderId="4" xfId="3" applyNumberFormat="1" applyBorder="1" applyAlignment="1">
      <alignment horizontal="center"/>
    </xf>
    <xf numFmtId="170" fontId="11" fillId="0" borderId="0" xfId="3" applyNumberFormat="1" applyAlignment="1">
      <alignment horizontal="right"/>
    </xf>
    <xf numFmtId="170" fontId="11" fillId="0" borderId="24" xfId="3" applyNumberFormat="1" applyBorder="1" applyAlignment="1">
      <alignment horizontal="center"/>
    </xf>
    <xf numFmtId="170" fontId="23" fillId="0" borderId="53" xfId="3" applyNumberFormat="1" applyFont="1" applyBorder="1" applyAlignment="1">
      <alignment horizontal="center"/>
    </xf>
    <xf numFmtId="0" fontId="13" fillId="0" borderId="0" xfId="3" applyFont="1"/>
    <xf numFmtId="0" fontId="56" fillId="0" borderId="32" xfId="0" applyFont="1" applyBorder="1"/>
    <xf numFmtId="0" fontId="22" fillId="0" borderId="0" xfId="0" applyFont="1" applyAlignment="1">
      <alignment vertical="center"/>
    </xf>
    <xf numFmtId="0" fontId="11" fillId="0" borderId="0" xfId="0" applyFont="1" applyAlignment="1">
      <alignment horizontal="right" vertical="center"/>
    </xf>
    <xf numFmtId="0" fontId="21" fillId="14" borderId="34" xfId="3" applyFont="1" applyFill="1" applyBorder="1" applyAlignment="1" applyProtection="1">
      <alignment horizontal="center" vertical="center"/>
      <protection locked="0"/>
    </xf>
    <xf numFmtId="16" fontId="21" fillId="0" borderId="20" xfId="3" applyNumberFormat="1" applyFont="1" applyBorder="1" applyAlignment="1">
      <alignment horizontal="left" vertical="center" shrinkToFit="1"/>
    </xf>
    <xf numFmtId="16" fontId="21" fillId="0" borderId="34" xfId="3" applyNumberFormat="1" applyFont="1" applyBorder="1" applyAlignment="1">
      <alignment horizontal="left" vertical="center" shrinkToFit="1"/>
    </xf>
    <xf numFmtId="16" fontId="21" fillId="0" borderId="34" xfId="3" applyNumberFormat="1" applyFont="1" applyBorder="1" applyAlignment="1">
      <alignment vertical="center"/>
    </xf>
    <xf numFmtId="16" fontId="21" fillId="0" borderId="34" xfId="3" applyNumberFormat="1" applyFont="1" applyBorder="1" applyAlignment="1">
      <alignment horizontal="right" vertical="center" shrinkToFit="1"/>
    </xf>
    <xf numFmtId="16" fontId="21" fillId="0" borderId="21" xfId="3" applyNumberFormat="1" applyFont="1" applyBorder="1" applyAlignment="1">
      <alignment horizontal="right" vertical="center" shrinkToFit="1"/>
    </xf>
    <xf numFmtId="167" fontId="21" fillId="0" borderId="20" xfId="3" applyNumberFormat="1" applyFont="1" applyBorder="1" applyAlignment="1">
      <alignment horizontal="center" vertical="center"/>
    </xf>
    <xf numFmtId="167" fontId="21" fillId="0" borderId="34" xfId="3" applyNumberFormat="1" applyFont="1" applyBorder="1" applyAlignment="1">
      <alignment horizontal="center" vertical="center"/>
    </xf>
    <xf numFmtId="0" fontId="0" fillId="0" borderId="21" xfId="0" applyBorder="1" applyAlignment="1">
      <alignment horizontal="center" wrapText="1"/>
    </xf>
    <xf numFmtId="0" fontId="0" fillId="0" borderId="21" xfId="0" applyBorder="1" applyAlignment="1">
      <alignment wrapText="1"/>
    </xf>
    <xf numFmtId="0" fontId="49" fillId="0" borderId="0" xfId="3" applyFont="1"/>
    <xf numFmtId="170" fontId="0" fillId="0" borderId="53" xfId="0" applyNumberFormat="1" applyBorder="1" applyAlignment="1">
      <alignment horizontal="center"/>
    </xf>
    <xf numFmtId="170" fontId="0" fillId="0" borderId="42" xfId="0" applyNumberFormat="1" applyBorder="1" applyAlignment="1">
      <alignment horizontal="center"/>
    </xf>
    <xf numFmtId="170" fontId="0" fillId="0" borderId="50" xfId="0" applyNumberFormat="1" applyBorder="1" applyAlignment="1">
      <alignment horizontal="center"/>
    </xf>
    <xf numFmtId="170" fontId="0" fillId="0" borderId="59" xfId="0" applyNumberFormat="1" applyBorder="1" applyAlignment="1">
      <alignment horizontal="center"/>
    </xf>
    <xf numFmtId="170" fontId="0" fillId="0" borderId="51" xfId="0" applyNumberFormat="1" applyBorder="1" applyAlignment="1">
      <alignment horizontal="center"/>
    </xf>
    <xf numFmtId="170" fontId="0" fillId="0" borderId="49" xfId="0" applyNumberFormat="1" applyBorder="1" applyAlignment="1">
      <alignment horizontal="center"/>
    </xf>
    <xf numFmtId="170" fontId="0" fillId="0" borderId="23" xfId="0" applyNumberFormat="1" applyBorder="1" applyAlignment="1">
      <alignment horizontal="center"/>
    </xf>
    <xf numFmtId="165" fontId="7" fillId="0" borderId="26" xfId="0" applyNumberFormat="1" applyFont="1" applyBorder="1"/>
    <xf numFmtId="20" fontId="0" fillId="0" borderId="10" xfId="0" applyNumberFormat="1" applyBorder="1"/>
    <xf numFmtId="20" fontId="0" fillId="0" borderId="29" xfId="0" applyNumberFormat="1" applyBorder="1"/>
    <xf numFmtId="0" fontId="0" fillId="0" borderId="10"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10" xfId="0" applyBorder="1"/>
    <xf numFmtId="0" fontId="0" fillId="0" borderId="29" xfId="0" applyBorder="1"/>
    <xf numFmtId="0" fontId="0" fillId="0" borderId="32" xfId="0" applyBorder="1" applyAlignment="1">
      <alignment horizontal="center"/>
    </xf>
    <xf numFmtId="0" fontId="0" fillId="0" borderId="58" xfId="0" applyBorder="1"/>
    <xf numFmtId="0" fontId="0" fillId="0" borderId="32" xfId="0" applyBorder="1"/>
    <xf numFmtId="165" fontId="0" fillId="0" borderId="24" xfId="0" applyNumberFormat="1" applyBorder="1"/>
    <xf numFmtId="20" fontId="0" fillId="0" borderId="53" xfId="0" applyNumberFormat="1" applyBorder="1"/>
    <xf numFmtId="0" fontId="0" fillId="0" borderId="42" xfId="0" applyBorder="1"/>
    <xf numFmtId="0" fontId="0" fillId="0" borderId="26" xfId="0" applyBorder="1" applyAlignment="1">
      <alignment vertical="center" textRotation="90"/>
    </xf>
    <xf numFmtId="20" fontId="0" fillId="0" borderId="7" xfId="0" applyNumberFormat="1" applyBorder="1"/>
    <xf numFmtId="20" fontId="0" fillId="0" borderId="9" xfId="0" applyNumberFormat="1" applyBorder="1"/>
    <xf numFmtId="20" fontId="0" fillId="0" borderId="52" xfId="0" applyNumberFormat="1"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20" fontId="0" fillId="0" borderId="52" xfId="0" applyNumberFormat="1" applyBorder="1" applyAlignment="1">
      <alignment horizontal="center"/>
    </xf>
    <xf numFmtId="0" fontId="0" fillId="0" borderId="8" xfId="0" applyBorder="1"/>
    <xf numFmtId="0" fontId="0" fillId="0" borderId="9" xfId="0" applyBorder="1"/>
    <xf numFmtId="0" fontId="0" fillId="0" borderId="52" xfId="0" applyBorder="1" applyAlignment="1">
      <alignment horizontal="center"/>
    </xf>
    <xf numFmtId="0" fontId="0" fillId="0" borderId="51" xfId="0" applyBorder="1"/>
    <xf numFmtId="0" fontId="0" fillId="0" borderId="52" xfId="0" applyBorder="1"/>
    <xf numFmtId="165" fontId="0" fillId="0" borderId="26" xfId="0" applyNumberFormat="1" applyBorder="1"/>
    <xf numFmtId="20" fontId="0" fillId="0" borderId="51" xfId="0" applyNumberFormat="1" applyBorder="1"/>
    <xf numFmtId="0" fontId="0" fillId="0" borderId="49" xfId="0" applyBorder="1"/>
    <xf numFmtId="20" fontId="30" fillId="2" borderId="0" xfId="0" applyNumberFormat="1" applyFont="1" applyFill="1" applyAlignment="1">
      <alignment horizontal="right"/>
    </xf>
    <xf numFmtId="0" fontId="59" fillId="0" borderId="0" xfId="0" applyFont="1"/>
    <xf numFmtId="0" fontId="11" fillId="0" borderId="0" xfId="0" applyFont="1"/>
    <xf numFmtId="0" fontId="8" fillId="0" borderId="0" xfId="0" applyFont="1" applyAlignment="1">
      <alignment horizontal="left" wrapText="1"/>
    </xf>
    <xf numFmtId="0" fontId="60" fillId="0" borderId="0" xfId="0" applyFont="1"/>
    <xf numFmtId="0" fontId="60" fillId="0" borderId="0" xfId="0" applyFont="1" applyAlignment="1">
      <alignment vertical="top"/>
    </xf>
    <xf numFmtId="0" fontId="61" fillId="0" borderId="0" xfId="0" applyFont="1"/>
    <xf numFmtId="0" fontId="61" fillId="0" borderId="0" xfId="0" applyFont="1" applyAlignment="1">
      <alignment wrapText="1"/>
    </xf>
    <xf numFmtId="0" fontId="62" fillId="0" borderId="0" xfId="0" applyFont="1" applyAlignment="1">
      <alignment horizontal="left" wrapText="1"/>
    </xf>
    <xf numFmtId="0" fontId="63" fillId="0" borderId="0" xfId="0" applyFont="1" applyAlignment="1">
      <alignment wrapText="1"/>
    </xf>
    <xf numFmtId="0" fontId="63" fillId="0" borderId="0" xfId="0" applyFont="1" applyAlignment="1">
      <alignment horizontal="left" wrapText="1"/>
    </xf>
    <xf numFmtId="0" fontId="64" fillId="0" borderId="0" xfId="0" applyFont="1" applyAlignment="1">
      <alignment wrapText="1"/>
    </xf>
    <xf numFmtId="0" fontId="62" fillId="0" borderId="0" xfId="0" applyFont="1" applyAlignment="1">
      <alignment wrapText="1"/>
    </xf>
    <xf numFmtId="0" fontId="62" fillId="0" borderId="0" xfId="0" applyFont="1"/>
    <xf numFmtId="0" fontId="45" fillId="0" borderId="0" xfId="0" applyFont="1" applyAlignment="1">
      <alignment wrapText="1"/>
    </xf>
    <xf numFmtId="0" fontId="58" fillId="0" borderId="0" xfId="0" applyFont="1"/>
    <xf numFmtId="0" fontId="65" fillId="0" borderId="0" xfId="0" applyFont="1"/>
    <xf numFmtId="0" fontId="0" fillId="0" borderId="37" xfId="0" applyBorder="1"/>
    <xf numFmtId="0" fontId="0" fillId="0" borderId="38" xfId="0" applyBorder="1"/>
    <xf numFmtId="0" fontId="7" fillId="0" borderId="64" xfId="0" applyFont="1" applyBorder="1"/>
    <xf numFmtId="0" fontId="0" fillId="0" borderId="37" xfId="0" applyBorder="1" applyAlignment="1">
      <alignment vertical="center"/>
    </xf>
    <xf numFmtId="0" fontId="0" fillId="0" borderId="64" xfId="0" applyBorder="1" applyAlignment="1">
      <alignment vertical="center"/>
    </xf>
    <xf numFmtId="0" fontId="0" fillId="0" borderId="39" xfId="0" applyBorder="1" applyAlignment="1">
      <alignment vertical="center"/>
    </xf>
    <xf numFmtId="0" fontId="0" fillId="0" borderId="65" xfId="0" applyBorder="1" applyAlignment="1">
      <alignment vertical="center"/>
    </xf>
    <xf numFmtId="0" fontId="0" fillId="0" borderId="65" xfId="0" applyBorder="1"/>
    <xf numFmtId="165" fontId="0" fillId="15" borderId="27" xfId="0" applyNumberFormat="1" applyFill="1" applyBorder="1" applyProtection="1">
      <protection locked="0"/>
    </xf>
    <xf numFmtId="20" fontId="0" fillId="15" borderId="10" xfId="0" applyNumberFormat="1" applyFill="1" applyBorder="1" applyProtection="1">
      <protection locked="0"/>
    </xf>
    <xf numFmtId="20" fontId="0" fillId="15" borderId="29" xfId="0" applyNumberFormat="1" applyFill="1" applyBorder="1" applyProtection="1">
      <protection locked="0"/>
    </xf>
    <xf numFmtId="165" fontId="0" fillId="15" borderId="25" xfId="0" applyNumberFormat="1" applyFill="1" applyBorder="1" applyProtection="1">
      <protection locked="0"/>
    </xf>
    <xf numFmtId="20" fontId="0" fillId="15" borderId="5" xfId="0" applyNumberFormat="1" applyFill="1" applyBorder="1" applyProtection="1">
      <protection locked="0"/>
    </xf>
    <xf numFmtId="20" fontId="0" fillId="15" borderId="6" xfId="0" applyNumberFormat="1" applyFill="1" applyBorder="1" applyProtection="1">
      <protection locked="0"/>
    </xf>
    <xf numFmtId="0" fontId="0" fillId="15" borderId="10" xfId="0" applyFill="1" applyBorder="1" applyAlignment="1" applyProtection="1">
      <alignment horizontal="center"/>
      <protection locked="0"/>
    </xf>
    <xf numFmtId="0" fontId="0" fillId="15" borderId="28" xfId="0" applyFill="1" applyBorder="1" applyAlignment="1" applyProtection="1">
      <alignment horizontal="center"/>
      <protection locked="0"/>
    </xf>
    <xf numFmtId="0" fontId="0" fillId="15" borderId="29" xfId="0" applyFill="1" applyBorder="1" applyAlignment="1" applyProtection="1">
      <alignment horizontal="center"/>
      <protection locked="0"/>
    </xf>
    <xf numFmtId="0" fontId="0" fillId="15" borderId="5" xfId="0" applyFill="1" applyBorder="1" applyAlignment="1" applyProtection="1">
      <alignment horizontal="center"/>
      <protection locked="0"/>
    </xf>
    <xf numFmtId="0" fontId="0" fillId="15" borderId="1" xfId="0" applyFill="1" applyBorder="1" applyAlignment="1" applyProtection="1">
      <alignment horizontal="center"/>
      <protection locked="0"/>
    </xf>
    <xf numFmtId="0" fontId="0" fillId="15" borderId="6" xfId="0" applyFill="1" applyBorder="1" applyAlignment="1" applyProtection="1">
      <alignment horizontal="center"/>
      <protection locked="0"/>
    </xf>
    <xf numFmtId="0" fontId="0" fillId="15" borderId="10" xfId="0" applyFill="1" applyBorder="1" applyProtection="1">
      <protection locked="0"/>
    </xf>
    <xf numFmtId="0" fontId="0" fillId="15" borderId="5" xfId="0" applyFill="1" applyBorder="1" applyProtection="1">
      <protection locked="0"/>
    </xf>
    <xf numFmtId="0" fontId="0" fillId="15" borderId="29" xfId="0" applyFill="1" applyBorder="1" applyProtection="1">
      <protection locked="0"/>
    </xf>
    <xf numFmtId="0" fontId="0" fillId="15" borderId="32" xfId="0" applyFill="1" applyBorder="1" applyAlignment="1" applyProtection="1">
      <alignment horizontal="center"/>
      <protection locked="0"/>
    </xf>
    <xf numFmtId="0" fontId="0" fillId="15" borderId="58" xfId="0" applyFill="1" applyBorder="1" applyProtection="1">
      <protection locked="0"/>
    </xf>
    <xf numFmtId="0" fontId="0" fillId="15" borderId="32" xfId="0" applyFill="1" applyBorder="1" applyProtection="1">
      <protection locked="0"/>
    </xf>
    <xf numFmtId="0" fontId="0" fillId="15" borderId="6" xfId="0" applyFill="1" applyBorder="1" applyProtection="1">
      <protection locked="0"/>
    </xf>
    <xf numFmtId="0" fontId="0" fillId="15" borderId="33" xfId="0" applyFill="1" applyBorder="1" applyAlignment="1" applyProtection="1">
      <alignment horizontal="center"/>
      <protection locked="0"/>
    </xf>
    <xf numFmtId="0" fontId="0" fillId="15" borderId="50" xfId="0" applyFill="1" applyBorder="1" applyProtection="1">
      <protection locked="0"/>
    </xf>
    <xf numFmtId="0" fontId="0" fillId="15" borderId="33" xfId="0" applyFill="1" applyBorder="1" applyProtection="1">
      <protection locked="0"/>
    </xf>
    <xf numFmtId="20" fontId="0" fillId="15" borderId="58" xfId="0" applyNumberFormat="1" applyFill="1" applyBorder="1" applyProtection="1">
      <protection locked="0"/>
    </xf>
    <xf numFmtId="0" fontId="0" fillId="15" borderId="67" xfId="0" applyFill="1" applyBorder="1" applyProtection="1">
      <protection locked="0"/>
    </xf>
    <xf numFmtId="20" fontId="0" fillId="15" borderId="50" xfId="0" applyNumberFormat="1" applyFill="1" applyBorder="1" applyProtection="1">
      <protection locked="0"/>
    </xf>
    <xf numFmtId="0" fontId="0" fillId="15" borderId="59" xfId="0" applyFill="1" applyBorder="1" applyProtection="1">
      <protection locked="0"/>
    </xf>
    <xf numFmtId="0" fontId="0" fillId="15" borderId="2" xfId="0" applyFill="1" applyBorder="1" applyProtection="1">
      <protection locked="0"/>
    </xf>
    <xf numFmtId="0" fontId="0" fillId="15" borderId="7" xfId="0" applyFill="1" applyBorder="1" applyProtection="1">
      <protection locked="0"/>
    </xf>
    <xf numFmtId="0" fontId="0" fillId="15" borderId="13" xfId="0" applyFill="1" applyBorder="1" applyProtection="1">
      <protection locked="0"/>
    </xf>
    <xf numFmtId="166" fontId="0" fillId="15" borderId="23" xfId="0" applyNumberFormat="1" applyFill="1" applyBorder="1" applyAlignment="1" applyProtection="1">
      <alignment horizontal="center"/>
      <protection locked="0"/>
    </xf>
    <xf numFmtId="49" fontId="11" fillId="15" borderId="25" xfId="1" applyNumberFormat="1" applyFont="1" applyFill="1" applyBorder="1" applyAlignment="1" applyProtection="1">
      <alignment horizontal="left" indent="2"/>
      <protection locked="0"/>
    </xf>
    <xf numFmtId="9" fontId="11" fillId="15" borderId="5" xfId="2" applyFont="1" applyFill="1" applyBorder="1" applyAlignment="1" applyProtection="1">
      <alignment horizontal="center"/>
      <protection locked="0"/>
    </xf>
    <xf numFmtId="9" fontId="11" fillId="15" borderId="1" xfId="2" applyFont="1" applyFill="1" applyBorder="1" applyAlignment="1" applyProtection="1">
      <alignment horizontal="center"/>
      <protection locked="0"/>
    </xf>
    <xf numFmtId="9" fontId="11" fillId="15" borderId="6" xfId="2" applyFont="1" applyFill="1" applyBorder="1" applyAlignment="1" applyProtection="1">
      <alignment horizontal="center"/>
      <protection locked="0"/>
    </xf>
    <xf numFmtId="166" fontId="11" fillId="15" borderId="25" xfId="3" applyNumberFormat="1" applyFill="1" applyBorder="1" applyAlignment="1" applyProtection="1">
      <alignment horizontal="center"/>
      <protection locked="0"/>
    </xf>
    <xf numFmtId="0" fontId="22" fillId="15" borderId="33" xfId="3" applyFont="1" applyFill="1" applyBorder="1" applyAlignment="1" applyProtection="1">
      <alignment horizontal="center"/>
      <protection locked="0"/>
    </xf>
    <xf numFmtId="0" fontId="22" fillId="15" borderId="50" xfId="3" applyFont="1" applyFill="1" applyBorder="1" applyAlignment="1" applyProtection="1">
      <alignment horizontal="center" vertical="center"/>
      <protection locked="0"/>
    </xf>
    <xf numFmtId="175" fontId="14" fillId="15" borderId="32" xfId="3" applyNumberFormat="1" applyFont="1" applyFill="1" applyBorder="1" applyAlignment="1" applyProtection="1">
      <alignment horizontal="right"/>
      <protection locked="0"/>
    </xf>
    <xf numFmtId="175" fontId="14" fillId="15" borderId="0" xfId="3" applyNumberFormat="1" applyFont="1" applyFill="1" applyAlignment="1" applyProtection="1">
      <alignment horizontal="right"/>
      <protection locked="0"/>
    </xf>
    <xf numFmtId="175" fontId="14" fillId="15" borderId="33" xfId="3" applyNumberFormat="1" applyFont="1" applyFill="1" applyBorder="1" applyProtection="1">
      <protection locked="0"/>
    </xf>
    <xf numFmtId="49" fontId="54" fillId="0" borderId="35" xfId="1" applyNumberFormat="1" applyFont="1" applyBorder="1" applyAlignment="1" applyProtection="1">
      <alignment horizontal="left" indent="2"/>
      <protection locked="0"/>
    </xf>
    <xf numFmtId="0" fontId="11" fillId="3" borderId="60" xfId="3" applyFill="1" applyBorder="1" applyProtection="1">
      <protection locked="0"/>
    </xf>
    <xf numFmtId="0" fontId="11" fillId="4" borderId="35" xfId="3" applyFill="1" applyBorder="1" applyProtection="1">
      <protection locked="0"/>
    </xf>
    <xf numFmtId="166" fontId="11" fillId="0" borderId="35" xfId="3" applyNumberFormat="1" applyBorder="1" applyAlignment="1" applyProtection="1">
      <alignment horizontal="center"/>
      <protection locked="0"/>
    </xf>
    <xf numFmtId="9" fontId="11" fillId="0" borderId="37" xfId="2" applyFont="1" applyFill="1" applyBorder="1" applyAlignment="1" applyProtection="1">
      <alignment horizontal="center"/>
      <protection locked="0"/>
    </xf>
    <xf numFmtId="9" fontId="11" fillId="0" borderId="38" xfId="2" applyFont="1" applyFill="1" applyBorder="1" applyAlignment="1" applyProtection="1">
      <alignment horizontal="center"/>
      <protection locked="0"/>
    </xf>
    <xf numFmtId="9" fontId="11" fillId="0" borderId="39" xfId="2" applyFont="1" applyFill="1" applyBorder="1" applyAlignment="1" applyProtection="1">
      <alignment horizontal="center"/>
      <protection locked="0"/>
    </xf>
    <xf numFmtId="9" fontId="11" fillId="0" borderId="36" xfId="2" applyFont="1" applyFill="1" applyBorder="1" applyAlignment="1" applyProtection="1">
      <alignment horizontal="center"/>
    </xf>
    <xf numFmtId="166" fontId="11" fillId="0" borderId="60" xfId="3" applyNumberFormat="1" applyBorder="1" applyAlignment="1">
      <alignment horizontal="center"/>
    </xf>
    <xf numFmtId="0" fontId="11" fillId="0" borderId="40" xfId="3" applyBorder="1" applyAlignment="1" applyProtection="1">
      <alignment horizontal="center"/>
      <protection locked="0"/>
    </xf>
    <xf numFmtId="0" fontId="22" fillId="0" borderId="36" xfId="3" applyFont="1" applyBorder="1" applyAlignment="1" applyProtection="1">
      <alignment horizontal="center" vertical="center"/>
      <protection locked="0"/>
    </xf>
    <xf numFmtId="49" fontId="54" fillId="0" borderId="45" xfId="1" applyNumberFormat="1" applyFont="1" applyBorder="1" applyAlignment="1" applyProtection="1">
      <alignment horizontal="left" indent="2"/>
      <protection locked="0"/>
    </xf>
    <xf numFmtId="0" fontId="11" fillId="3" borderId="44" xfId="3" applyFill="1" applyBorder="1" applyProtection="1">
      <protection locked="0"/>
    </xf>
    <xf numFmtId="0" fontId="11" fillId="4" borderId="45" xfId="3" applyFill="1" applyBorder="1" applyProtection="1">
      <protection locked="0"/>
    </xf>
    <xf numFmtId="166" fontId="11" fillId="0" borderId="45" xfId="3" applyNumberFormat="1" applyBorder="1" applyAlignment="1" applyProtection="1">
      <alignment horizontal="center"/>
      <protection locked="0"/>
    </xf>
    <xf numFmtId="9" fontId="11" fillId="0" borderId="68" xfId="2" applyFont="1" applyFill="1" applyBorder="1" applyAlignment="1" applyProtection="1">
      <alignment horizontal="center"/>
      <protection locked="0"/>
    </xf>
    <xf numFmtId="9" fontId="11" fillId="0" borderId="69" xfId="2" applyFont="1" applyFill="1" applyBorder="1" applyAlignment="1" applyProtection="1">
      <alignment horizontal="center"/>
      <protection locked="0"/>
    </xf>
    <xf numFmtId="9" fontId="11" fillId="0" borderId="70" xfId="2" applyFont="1" applyFill="1" applyBorder="1" applyAlignment="1" applyProtection="1">
      <alignment horizontal="center"/>
      <protection locked="0"/>
    </xf>
    <xf numFmtId="9" fontId="11" fillId="0" borderId="44" xfId="2" applyFont="1" applyFill="1" applyBorder="1" applyAlignment="1" applyProtection="1">
      <alignment horizontal="center"/>
    </xf>
    <xf numFmtId="166" fontId="11" fillId="0" borderId="58" xfId="3" applyNumberFormat="1" applyBorder="1" applyAlignment="1">
      <alignment horizontal="center"/>
    </xf>
    <xf numFmtId="0" fontId="22" fillId="0" borderId="47" xfId="3" applyFont="1" applyBorder="1" applyAlignment="1" applyProtection="1">
      <alignment horizontal="center"/>
      <protection locked="0"/>
    </xf>
    <xf numFmtId="0" fontId="22" fillId="0" borderId="44" xfId="3" applyFont="1" applyBorder="1" applyAlignment="1" applyProtection="1">
      <alignment horizontal="center" vertical="center"/>
      <protection locked="0"/>
    </xf>
    <xf numFmtId="49" fontId="11" fillId="15" borderId="24" xfId="1" applyNumberFormat="1" applyFont="1" applyFill="1" applyBorder="1" applyAlignment="1" applyProtection="1">
      <alignment horizontal="left" indent="2"/>
      <protection locked="0"/>
    </xf>
    <xf numFmtId="0" fontId="11" fillId="3" borderId="53" xfId="3" applyFill="1" applyBorder="1" applyProtection="1">
      <protection locked="0"/>
    </xf>
    <xf numFmtId="0" fontId="11" fillId="4" borderId="53" xfId="3" applyFill="1" applyBorder="1" applyProtection="1">
      <protection locked="0"/>
    </xf>
    <xf numFmtId="166" fontId="11" fillId="15" borderId="53" xfId="3" applyNumberFormat="1" applyFill="1" applyBorder="1" applyAlignment="1" applyProtection="1">
      <alignment horizontal="center"/>
      <protection locked="0"/>
    </xf>
    <xf numFmtId="9" fontId="11" fillId="15" borderId="2" xfId="2" applyFont="1" applyFill="1" applyBorder="1" applyAlignment="1" applyProtection="1">
      <alignment horizontal="center"/>
      <protection locked="0"/>
    </xf>
    <xf numFmtId="9" fontId="11" fillId="15" borderId="3" xfId="2" applyFont="1" applyFill="1" applyBorder="1" applyAlignment="1" applyProtection="1">
      <alignment horizontal="center"/>
      <protection locked="0"/>
    </xf>
    <xf numFmtId="9" fontId="11" fillId="15" borderId="4" xfId="2" applyFont="1" applyFill="1" applyBorder="1" applyAlignment="1" applyProtection="1">
      <alignment horizontal="center"/>
      <protection locked="0"/>
    </xf>
    <xf numFmtId="166" fontId="11" fillId="0" borderId="53" xfId="3" applyNumberFormat="1" applyBorder="1" applyAlignment="1">
      <alignment horizontal="center"/>
    </xf>
    <xf numFmtId="0" fontId="22" fillId="15" borderId="41" xfId="3" applyFont="1" applyFill="1" applyBorder="1" applyAlignment="1" applyProtection="1">
      <alignment horizontal="center"/>
      <protection locked="0"/>
    </xf>
    <xf numFmtId="0" fontId="22" fillId="15" borderId="53" xfId="3" applyFont="1" applyFill="1" applyBorder="1" applyAlignment="1" applyProtection="1">
      <alignment horizontal="center" vertical="center"/>
      <protection locked="0"/>
    </xf>
    <xf numFmtId="49" fontId="11" fillId="15" borderId="26" xfId="1" applyNumberFormat="1" applyFont="1" applyFill="1" applyBorder="1" applyAlignment="1" applyProtection="1">
      <alignment horizontal="left" indent="2"/>
      <protection locked="0"/>
    </xf>
    <xf numFmtId="166" fontId="11" fillId="15" borderId="26" xfId="3" applyNumberFormat="1" applyFill="1" applyBorder="1" applyAlignment="1" applyProtection="1">
      <alignment horizontal="center"/>
      <protection locked="0"/>
    </xf>
    <xf numFmtId="9" fontId="11" fillId="15" borderId="7" xfId="2" applyFont="1" applyFill="1" applyBorder="1" applyAlignment="1" applyProtection="1">
      <alignment horizontal="center"/>
      <protection locked="0"/>
    </xf>
    <xf numFmtId="9" fontId="11" fillId="15" borderId="8" xfId="2" applyFont="1" applyFill="1" applyBorder="1" applyAlignment="1" applyProtection="1">
      <alignment horizontal="center"/>
      <protection locked="0"/>
    </xf>
    <xf numFmtId="9" fontId="11" fillId="15" borderId="9" xfId="2" applyFont="1" applyFill="1" applyBorder="1" applyAlignment="1" applyProtection="1">
      <alignment horizontal="center"/>
      <protection locked="0"/>
    </xf>
    <xf numFmtId="166" fontId="11" fillId="0" borderId="51" xfId="3" applyNumberFormat="1" applyBorder="1" applyAlignment="1">
      <alignment horizontal="center"/>
    </xf>
    <xf numFmtId="0" fontId="22" fillId="15" borderId="52" xfId="3" applyFont="1" applyFill="1" applyBorder="1" applyAlignment="1" applyProtection="1">
      <alignment horizontal="center"/>
      <protection locked="0"/>
    </xf>
    <xf numFmtId="0" fontId="22" fillId="15" borderId="51" xfId="3" applyFont="1" applyFill="1" applyBorder="1" applyAlignment="1" applyProtection="1">
      <alignment horizontal="center" vertical="center"/>
      <protection locked="0"/>
    </xf>
    <xf numFmtId="0" fontId="66" fillId="0" borderId="0" xfId="0" applyFont="1"/>
    <xf numFmtId="0" fontId="28" fillId="0" borderId="0" xfId="0" applyFont="1"/>
    <xf numFmtId="0" fontId="0" fillId="15" borderId="3" xfId="0" applyFill="1" applyBorder="1" applyProtection="1">
      <protection locked="0"/>
    </xf>
    <xf numFmtId="0" fontId="0" fillId="15" borderId="11" xfId="0" applyFill="1" applyBorder="1" applyProtection="1">
      <protection locked="0"/>
    </xf>
    <xf numFmtId="0" fontId="0" fillId="15" borderId="11" xfId="0" applyFill="1" applyBorder="1" applyAlignment="1" applyProtection="1">
      <alignment horizontal="center" vertical="center"/>
      <protection locked="0"/>
    </xf>
    <xf numFmtId="0" fontId="0" fillId="15" borderId="4" xfId="0" applyFill="1" applyBorder="1" applyAlignment="1" applyProtection="1">
      <alignment horizontal="center" vertical="center"/>
      <protection locked="0"/>
    </xf>
    <xf numFmtId="0" fontId="0" fillId="15" borderId="1" xfId="0" applyFill="1" applyBorder="1" applyProtection="1">
      <protection locked="0"/>
    </xf>
    <xf numFmtId="0" fontId="0" fillId="15" borderId="56" xfId="0" applyFill="1" applyBorder="1" applyProtection="1">
      <protection locked="0"/>
    </xf>
    <xf numFmtId="0" fontId="0" fillId="15" borderId="5" xfId="0" applyFill="1" applyBorder="1" applyAlignment="1" applyProtection="1">
      <alignment horizontal="center" vertical="center"/>
      <protection locked="0"/>
    </xf>
    <xf numFmtId="0" fontId="0" fillId="15" borderId="56" xfId="0" applyFill="1" applyBorder="1" applyAlignment="1" applyProtection="1">
      <alignment horizontal="center" vertical="center"/>
      <protection locked="0"/>
    </xf>
    <xf numFmtId="0" fontId="0" fillId="15" borderId="6" xfId="0" applyFill="1" applyBorder="1" applyAlignment="1" applyProtection="1">
      <alignment horizontal="center" vertical="center"/>
      <protection locked="0"/>
    </xf>
    <xf numFmtId="0" fontId="0" fillId="15" borderId="8" xfId="0" applyFill="1" applyBorder="1" applyProtection="1">
      <protection locked="0"/>
    </xf>
    <xf numFmtId="0" fontId="0" fillId="15" borderId="62" xfId="0" applyFill="1" applyBorder="1" applyProtection="1">
      <protection locked="0"/>
    </xf>
    <xf numFmtId="0" fontId="0" fillId="15" borderId="7" xfId="0" applyFill="1" applyBorder="1" applyAlignment="1" applyProtection="1">
      <alignment horizontal="center" vertical="center"/>
      <protection locked="0"/>
    </xf>
    <xf numFmtId="0" fontId="0" fillId="15" borderId="62" xfId="0" applyFill="1" applyBorder="1" applyAlignment="1" applyProtection="1">
      <alignment horizontal="center" vertical="center"/>
      <protection locked="0"/>
    </xf>
    <xf numFmtId="0" fontId="0" fillId="15" borderId="9" xfId="0" applyFill="1" applyBorder="1" applyAlignment="1" applyProtection="1">
      <alignment horizontal="center" vertical="center"/>
      <protection locked="0"/>
    </xf>
    <xf numFmtId="0" fontId="0" fillId="15" borderId="15" xfId="0" applyFill="1" applyBorder="1" applyAlignment="1" applyProtection="1">
      <alignment horizontal="center" textRotation="90"/>
      <protection locked="0"/>
    </xf>
    <xf numFmtId="0" fontId="0" fillId="15" borderId="30" xfId="0" applyFill="1" applyBorder="1" applyAlignment="1" applyProtection="1">
      <alignment horizontal="center" textRotation="90"/>
      <protection locked="0"/>
    </xf>
    <xf numFmtId="0" fontId="0" fillId="15" borderId="17" xfId="0" applyFill="1" applyBorder="1" applyAlignment="1" applyProtection="1">
      <alignment horizontal="center" textRotation="90"/>
      <protection locked="0"/>
    </xf>
    <xf numFmtId="0" fontId="11" fillId="15" borderId="5" xfId="3" applyFill="1" applyBorder="1" applyAlignment="1" applyProtection="1">
      <alignment horizontal="center" vertical="center"/>
      <protection locked="0"/>
    </xf>
    <xf numFmtId="0" fontId="11" fillId="15" borderId="55" xfId="3" applyFill="1" applyBorder="1" applyAlignment="1" applyProtection="1">
      <alignment horizontal="center" vertical="center"/>
      <protection locked="0"/>
    </xf>
    <xf numFmtId="0" fontId="11" fillId="15" borderId="1" xfId="3" applyFill="1" applyBorder="1" applyAlignment="1" applyProtection="1">
      <alignment horizontal="center" vertical="center"/>
      <protection locked="0"/>
    </xf>
    <xf numFmtId="0" fontId="11" fillId="15" borderId="6" xfId="3" applyFill="1" applyBorder="1" applyAlignment="1" applyProtection="1">
      <alignment horizontal="center" vertical="center"/>
      <protection locked="0"/>
    </xf>
    <xf numFmtId="0" fontId="11" fillId="15" borderId="66" xfId="3" applyFill="1" applyBorder="1" applyAlignment="1" applyProtection="1">
      <alignment horizontal="center"/>
      <protection locked="0"/>
    </xf>
    <xf numFmtId="166" fontId="67" fillId="2" borderId="0" xfId="0" applyNumberFormat="1" applyFont="1" applyFill="1" applyAlignment="1">
      <alignment horizontal="center"/>
    </xf>
    <xf numFmtId="0" fontId="67" fillId="2" borderId="0" xfId="0" applyFont="1" applyFill="1"/>
    <xf numFmtId="0" fontId="67" fillId="2" borderId="0" xfId="0" applyFont="1" applyFill="1" applyAlignment="1">
      <alignment horizontal="right"/>
    </xf>
    <xf numFmtId="166" fontId="67" fillId="2" borderId="0" xfId="0" applyNumberFormat="1" applyFont="1" applyFill="1"/>
    <xf numFmtId="9" fontId="0" fillId="15" borderId="2" xfId="0" applyNumberFormat="1" applyFill="1" applyBorder="1" applyAlignment="1" applyProtection="1">
      <alignment horizontal="center" vertical="center"/>
      <protection locked="0"/>
    </xf>
    <xf numFmtId="9" fontId="0" fillId="15" borderId="5" xfId="0" applyNumberFormat="1" applyFill="1" applyBorder="1" applyAlignment="1" applyProtection="1">
      <alignment horizontal="center" vertical="center"/>
      <protection locked="0"/>
    </xf>
    <xf numFmtId="9" fontId="0" fillId="15" borderId="56" xfId="0" applyNumberFormat="1" applyFill="1" applyBorder="1" applyAlignment="1" applyProtection="1">
      <alignment horizontal="center" vertical="center"/>
      <protection locked="0"/>
    </xf>
    <xf numFmtId="9" fontId="0" fillId="15" borderId="11" xfId="0" applyNumberFormat="1" applyFill="1" applyBorder="1" applyAlignment="1" applyProtection="1">
      <alignment horizontal="center" vertical="center"/>
      <protection locked="0"/>
    </xf>
    <xf numFmtId="0" fontId="66" fillId="0" borderId="0" xfId="0" applyFont="1" applyAlignment="1">
      <alignment horizontal="left" wrapText="1"/>
    </xf>
    <xf numFmtId="0" fontId="63" fillId="0" borderId="0" xfId="0" applyFont="1" applyAlignment="1">
      <alignment horizontal="justify" wrapText="1"/>
    </xf>
    <xf numFmtId="0" fontId="8" fillId="0" borderId="0" xfId="0" applyFont="1" applyAlignment="1">
      <alignment horizontal="left" wrapText="1"/>
    </xf>
    <xf numFmtId="0" fontId="62" fillId="0" borderId="0" xfId="0" applyFont="1" applyAlignment="1">
      <alignment horizontal="left" wrapText="1"/>
    </xf>
    <xf numFmtId="0" fontId="62" fillId="0" borderId="0" xfId="0" applyFont="1" applyAlignment="1">
      <alignment horizontal="left"/>
    </xf>
    <xf numFmtId="0" fontId="66" fillId="0" borderId="0" xfId="0" applyFont="1" applyAlignment="1">
      <alignment horizontal="left"/>
    </xf>
    <xf numFmtId="0" fontId="62" fillId="0" borderId="0" xfId="0" applyFont="1" applyAlignment="1">
      <alignment horizontal="justify" wrapText="1"/>
    </xf>
    <xf numFmtId="0" fontId="55" fillId="0" borderId="0" xfId="0" applyFont="1" applyAlignment="1">
      <alignment horizontal="left" wrapText="1"/>
    </xf>
    <xf numFmtId="0" fontId="36" fillId="15" borderId="56" xfId="0" applyFont="1" applyFill="1" applyBorder="1" applyAlignment="1" applyProtection="1">
      <alignment horizontal="left"/>
      <protection locked="0"/>
    </xf>
    <xf numFmtId="0" fontId="36" fillId="15" borderId="33" xfId="0" applyFont="1" applyFill="1" applyBorder="1" applyAlignment="1" applyProtection="1">
      <alignment horizontal="left"/>
      <protection locked="0"/>
    </xf>
    <xf numFmtId="0" fontId="36" fillId="15" borderId="55" xfId="0" applyFont="1" applyFill="1" applyBorder="1" applyAlignment="1" applyProtection="1">
      <alignment horizontal="left"/>
      <protection locked="0"/>
    </xf>
    <xf numFmtId="0" fontId="4" fillId="0" borderId="20" xfId="0" applyFont="1" applyBorder="1" applyAlignment="1">
      <alignment horizontal="center" vertical="center"/>
    </xf>
    <xf numFmtId="0" fontId="4" fillId="0" borderId="34" xfId="0" applyFont="1" applyBorder="1" applyAlignment="1">
      <alignment horizontal="center" vertical="center"/>
    </xf>
    <xf numFmtId="0" fontId="4" fillId="0" borderId="21" xfId="0" applyFont="1" applyBorder="1" applyAlignment="1">
      <alignment horizontal="center" vertical="center"/>
    </xf>
    <xf numFmtId="0" fontId="0" fillId="0" borderId="20" xfId="0" applyBorder="1" applyAlignment="1">
      <alignment horizontal="center"/>
    </xf>
    <xf numFmtId="0" fontId="0" fillId="0" borderId="21" xfId="0" applyBorder="1" applyAlignment="1">
      <alignment horizontal="center"/>
    </xf>
    <xf numFmtId="177" fontId="57" fillId="0" borderId="34" xfId="3" applyNumberFormat="1" applyFont="1" applyBorder="1" applyAlignment="1">
      <alignment horizontal="left" vertical="center" shrinkToFit="1"/>
    </xf>
    <xf numFmtId="177" fontId="57" fillId="0" borderId="21" xfId="3" applyNumberFormat="1" applyFont="1" applyBorder="1" applyAlignment="1">
      <alignment horizontal="left" vertical="center" shrinkToFit="1"/>
    </xf>
    <xf numFmtId="177" fontId="57" fillId="0" borderId="20" xfId="3" applyNumberFormat="1" applyFont="1" applyBorder="1" applyAlignment="1">
      <alignment horizontal="right" vertical="center" shrinkToFit="1"/>
    </xf>
    <xf numFmtId="177" fontId="57" fillId="0" borderId="34" xfId="3" applyNumberFormat="1" applyFont="1" applyBorder="1" applyAlignment="1">
      <alignment horizontal="right" vertical="center" shrinkToFit="1"/>
    </xf>
    <xf numFmtId="171" fontId="23" fillId="5" borderId="0" xfId="4" applyNumberFormat="1" applyFont="1" applyFill="1" applyAlignment="1" applyProtection="1">
      <alignment horizontal="right"/>
    </xf>
    <xf numFmtId="171" fontId="23" fillId="5" borderId="63" xfId="4" applyNumberFormat="1" applyFont="1" applyFill="1" applyBorder="1" applyAlignment="1" applyProtection="1">
      <alignment horizontal="right"/>
    </xf>
    <xf numFmtId="172" fontId="23" fillId="11" borderId="0" xfId="4" applyNumberFormat="1" applyFont="1" applyFill="1" applyAlignment="1" applyProtection="1">
      <alignment horizontal="right"/>
    </xf>
    <xf numFmtId="172" fontId="23" fillId="11" borderId="63" xfId="4" applyNumberFormat="1" applyFont="1" applyFill="1" applyBorder="1" applyAlignment="1" applyProtection="1">
      <alignment horizontal="right"/>
    </xf>
    <xf numFmtId="173" fontId="23" fillId="7" borderId="0" xfId="4" applyNumberFormat="1" applyFont="1" applyFill="1" applyAlignment="1" applyProtection="1">
      <alignment horizontal="right"/>
    </xf>
    <xf numFmtId="173" fontId="23" fillId="7" borderId="63" xfId="4" applyNumberFormat="1" applyFont="1" applyFill="1" applyBorder="1" applyAlignment="1" applyProtection="1">
      <alignment horizontal="right"/>
    </xf>
    <xf numFmtId="167" fontId="21" fillId="0" borderId="20" xfId="3" applyNumberFormat="1" applyFont="1" applyBorder="1" applyAlignment="1">
      <alignment horizontal="center" vertical="center"/>
    </xf>
    <xf numFmtId="167" fontId="21" fillId="0" borderId="34" xfId="3" applyNumberFormat="1" applyFont="1" applyBorder="1" applyAlignment="1">
      <alignment horizontal="center" vertical="center"/>
    </xf>
    <xf numFmtId="167" fontId="21" fillId="0" borderId="21" xfId="3" applyNumberFormat="1" applyFont="1" applyBorder="1" applyAlignment="1">
      <alignment horizontal="center" vertical="center"/>
    </xf>
    <xf numFmtId="0" fontId="21" fillId="0" borderId="20" xfId="3" applyFont="1" applyBorder="1" applyAlignment="1" applyProtection="1">
      <alignment horizontal="center" vertical="center"/>
      <protection locked="0"/>
    </xf>
    <xf numFmtId="0" fontId="21" fillId="0" borderId="34" xfId="3" applyFont="1" applyBorder="1" applyAlignment="1" applyProtection="1">
      <alignment horizontal="center" vertical="center"/>
      <protection locked="0"/>
    </xf>
    <xf numFmtId="0" fontId="21" fillId="0" borderId="21" xfId="3" applyFont="1" applyBorder="1" applyAlignment="1" applyProtection="1">
      <alignment horizontal="center" vertical="center"/>
      <protection locked="0"/>
    </xf>
    <xf numFmtId="176" fontId="21" fillId="0" borderId="38" xfId="3" applyNumberFormat="1" applyFont="1" applyBorder="1" applyAlignment="1">
      <alignment horizontal="center" vertical="center" textRotation="90" shrinkToFit="1"/>
    </xf>
    <xf numFmtId="176" fontId="21" fillId="0" borderId="46" xfId="3" applyNumberFormat="1" applyFont="1" applyBorder="1" applyAlignment="1">
      <alignment horizontal="center" vertical="center" textRotation="90" shrinkToFit="1"/>
    </xf>
    <xf numFmtId="176" fontId="21" fillId="0" borderId="39" xfId="3" applyNumberFormat="1" applyFont="1" applyBorder="1" applyAlignment="1">
      <alignment horizontal="center" vertical="center" textRotation="90" shrinkToFit="1"/>
    </xf>
    <xf numFmtId="176" fontId="21" fillId="0" borderId="19" xfId="3" applyNumberFormat="1" applyFont="1" applyBorder="1" applyAlignment="1">
      <alignment horizontal="center" vertical="center" textRotation="90" shrinkToFit="1"/>
    </xf>
    <xf numFmtId="176" fontId="21" fillId="0" borderId="37" xfId="3" applyNumberFormat="1" applyFont="1" applyBorder="1" applyAlignment="1">
      <alignment horizontal="center" vertical="center" textRotation="90" shrinkToFit="1"/>
    </xf>
    <xf numFmtId="176" fontId="21" fillId="0" borderId="18" xfId="3" applyNumberFormat="1" applyFont="1" applyBorder="1" applyAlignment="1">
      <alignment horizontal="center" vertical="center" textRotation="90" shrinkToFit="1"/>
    </xf>
    <xf numFmtId="0" fontId="19" fillId="0" borderId="35" xfId="3" applyFont="1" applyBorder="1" applyAlignment="1">
      <alignment horizontal="left" vertical="center" wrapText="1"/>
    </xf>
    <xf numFmtId="0" fontId="19" fillId="0" borderId="43" xfId="3" applyFont="1" applyBorder="1" applyAlignment="1">
      <alignment horizontal="left" vertical="center" wrapText="1"/>
    </xf>
    <xf numFmtId="0" fontId="47" fillId="0" borderId="20" xfId="3" applyFont="1" applyBorder="1" applyAlignment="1">
      <alignment horizontal="left"/>
    </xf>
    <xf numFmtId="0" fontId="47" fillId="0" borderId="34" xfId="3" applyFont="1" applyBorder="1" applyAlignment="1">
      <alignment horizontal="left"/>
    </xf>
    <xf numFmtId="0" fontId="47" fillId="0" borderId="21" xfId="3" applyFont="1" applyBorder="1" applyAlignment="1">
      <alignment horizontal="left"/>
    </xf>
    <xf numFmtId="0" fontId="11" fillId="15" borderId="56" xfId="0" applyFont="1" applyFill="1" applyBorder="1" applyAlignment="1" applyProtection="1">
      <alignment horizontal="center" vertical="center"/>
      <protection locked="0"/>
    </xf>
    <xf numFmtId="0" fontId="11" fillId="15" borderId="33" xfId="0" applyFont="1" applyFill="1" applyBorder="1" applyAlignment="1" applyProtection="1">
      <alignment horizontal="center" vertical="center"/>
      <protection locked="0"/>
    </xf>
    <xf numFmtId="0" fontId="11" fillId="15" borderId="55" xfId="0" applyFont="1" applyFill="1" applyBorder="1" applyAlignment="1" applyProtection="1">
      <alignment horizontal="center" vertical="center"/>
      <protection locked="0"/>
    </xf>
    <xf numFmtId="0" fontId="19" fillId="15" borderId="56" xfId="3" applyFont="1" applyFill="1" applyBorder="1" applyAlignment="1" applyProtection="1">
      <alignment horizontal="center" vertical="center"/>
      <protection locked="0"/>
    </xf>
    <xf numFmtId="0" fontId="19" fillId="15" borderId="33" xfId="3" applyFont="1" applyFill="1" applyBorder="1" applyAlignment="1" applyProtection="1">
      <alignment horizontal="center" vertical="center"/>
      <protection locked="0"/>
    </xf>
    <xf numFmtId="0" fontId="19" fillId="15" borderId="55" xfId="3" applyFont="1" applyFill="1" applyBorder="1" applyAlignment="1" applyProtection="1">
      <alignment horizontal="center" vertical="center"/>
      <protection locked="0"/>
    </xf>
    <xf numFmtId="167" fontId="21" fillId="0" borderId="34" xfId="3" applyNumberFormat="1" applyFont="1" applyBorder="1" applyAlignment="1">
      <alignment horizontal="left" vertical="center"/>
    </xf>
    <xf numFmtId="167" fontId="21" fillId="0" borderId="21" xfId="3" applyNumberFormat="1" applyFont="1" applyBorder="1" applyAlignment="1">
      <alignment horizontal="left" vertical="center"/>
    </xf>
    <xf numFmtId="0" fontId="4" fillId="15" borderId="20" xfId="0" applyFont="1" applyFill="1" applyBorder="1" applyAlignment="1" applyProtection="1">
      <alignment horizontal="center"/>
      <protection locked="0"/>
    </xf>
    <xf numFmtId="0" fontId="4" fillId="15" borderId="21" xfId="0" applyFont="1" applyFill="1" applyBorder="1" applyAlignment="1" applyProtection="1">
      <alignment horizontal="center"/>
      <protection locked="0"/>
    </xf>
    <xf numFmtId="0" fontId="68" fillId="0" borderId="25" xfId="0" applyFont="1" applyBorder="1" applyAlignment="1">
      <alignment vertical="center" textRotation="90"/>
    </xf>
    <xf numFmtId="165" fontId="68" fillId="16" borderId="25" xfId="0" applyNumberFormat="1" applyFont="1" applyFill="1" applyBorder="1" applyProtection="1">
      <protection locked="0"/>
    </xf>
    <xf numFmtId="20" fontId="68" fillId="16" borderId="5" xfId="0" applyNumberFormat="1" applyFont="1" applyFill="1" applyBorder="1" applyProtection="1">
      <protection locked="0"/>
    </xf>
    <xf numFmtId="20" fontId="68" fillId="16" borderId="59" xfId="0" applyNumberFormat="1" applyFont="1" applyFill="1" applyBorder="1" applyProtection="1">
      <protection locked="0"/>
    </xf>
    <xf numFmtId="20" fontId="68" fillId="0" borderId="33" xfId="0" applyNumberFormat="1" applyFont="1" applyBorder="1"/>
    <xf numFmtId="0" fontId="68" fillId="16" borderId="5" xfId="0" applyFont="1" applyFill="1" applyBorder="1" applyAlignment="1" applyProtection="1">
      <alignment horizontal="center"/>
      <protection locked="0"/>
    </xf>
    <xf numFmtId="0" fontId="68" fillId="16" borderId="55" xfId="0" applyFont="1" applyFill="1" applyBorder="1" applyAlignment="1" applyProtection="1">
      <alignment horizontal="center"/>
      <protection locked="0"/>
    </xf>
    <xf numFmtId="0" fontId="68" fillId="16" borderId="59" xfId="0" applyFont="1" applyFill="1" applyBorder="1" applyAlignment="1" applyProtection="1">
      <alignment horizontal="center"/>
      <protection locked="0"/>
    </xf>
    <xf numFmtId="20" fontId="68" fillId="0" borderId="33" xfId="0" applyNumberFormat="1" applyFont="1" applyBorder="1" applyAlignment="1">
      <alignment horizontal="center"/>
    </xf>
    <xf numFmtId="0" fontId="68" fillId="16" borderId="59" xfId="0" applyFont="1" applyFill="1" applyBorder="1" applyProtection="1">
      <protection locked="0"/>
    </xf>
    <xf numFmtId="0" fontId="68" fillId="16" borderId="33" xfId="0" applyFont="1" applyFill="1" applyBorder="1" applyAlignment="1" applyProtection="1">
      <alignment horizontal="center"/>
      <protection locked="0"/>
    </xf>
    <xf numFmtId="0" fontId="68" fillId="16" borderId="50" xfId="0" applyFont="1" applyFill="1" applyBorder="1" applyProtection="1">
      <protection locked="0"/>
    </xf>
    <xf numFmtId="0" fontId="68" fillId="16" borderId="33" xfId="0" applyFont="1" applyFill="1" applyBorder="1" applyProtection="1">
      <protection locked="0"/>
    </xf>
    <xf numFmtId="0" fontId="68" fillId="0" borderId="0" xfId="0" applyFont="1" applyProtection="1">
      <protection locked="0"/>
    </xf>
    <xf numFmtId="20" fontId="68" fillId="16" borderId="50" xfId="0" applyNumberFormat="1" applyFont="1" applyFill="1" applyBorder="1" applyProtection="1">
      <protection locked="0"/>
    </xf>
  </cellXfs>
  <cellStyles count="6">
    <cellStyle name="Lien hypertexte" xfId="5" builtinId="8"/>
    <cellStyle name="Milliers" xfId="1" builtinId="3"/>
    <cellStyle name="Normal" xfId="0" builtinId="0"/>
    <cellStyle name="Normal 2" xfId="3" xr:uid="{384974F6-F221-4690-98B8-4EE88C8F0420}"/>
    <cellStyle name="Pourcentage" xfId="2" builtinId="5"/>
    <cellStyle name="Pourcentage 2" xfId="4" xr:uid="{71C853C5-0A04-4D93-A12E-C8F3BD51429A}"/>
  </cellStyles>
  <dxfs count="37">
    <dxf>
      <font>
        <color rgb="FFFF0000"/>
      </font>
    </dxf>
    <dxf>
      <font>
        <b/>
        <i val="0"/>
        <color theme="0"/>
      </font>
      <fill>
        <patternFill>
          <bgColor rgb="FFFF0000"/>
        </patternFill>
      </fill>
    </dxf>
    <dxf>
      <font>
        <b/>
        <i val="0"/>
        <color theme="0"/>
      </font>
      <fill>
        <patternFill>
          <bgColor rgb="FF00B050"/>
        </patternFill>
      </fill>
    </dxf>
    <dxf>
      <fill>
        <patternFill>
          <bgColor rgb="FF00B050"/>
        </patternFill>
      </fill>
    </dxf>
    <dxf>
      <fill>
        <patternFill>
          <bgColor rgb="FFFF0000"/>
        </patternFill>
      </fill>
    </dxf>
    <dxf>
      <font>
        <color rgb="FF00B050"/>
      </font>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numFmt numFmtId="178" formatCode="&quot;jour &quot;\ 0"/>
    </dxf>
    <dxf>
      <font>
        <color theme="1"/>
      </font>
      <fill>
        <patternFill>
          <bgColor rgb="FFC00000"/>
        </patternFill>
      </fill>
    </dxf>
    <dxf>
      <fill>
        <patternFill>
          <bgColor rgb="FF92D050"/>
        </patternFill>
      </fill>
    </dxf>
    <dxf>
      <fill>
        <patternFill>
          <bgColor theme="7" tint="0.39994506668294322"/>
        </patternFill>
      </fill>
    </dxf>
    <dxf>
      <fill>
        <patternFill>
          <bgColor rgb="FFFF7C80"/>
        </patternFill>
      </fill>
    </dxf>
    <dxf>
      <font>
        <color theme="1"/>
      </font>
      <fill>
        <gradientFill>
          <stop position="0">
            <color theme="0"/>
          </stop>
          <stop position="0.5">
            <color rgb="FF7030A0"/>
          </stop>
          <stop position="1">
            <color theme="0"/>
          </stop>
        </gradientFill>
      </fill>
    </dxf>
    <dxf>
      <font>
        <color theme="1"/>
      </font>
      <fill>
        <patternFill>
          <bgColor rgb="FF7030A0"/>
        </patternFill>
      </fill>
    </dxf>
    <dxf>
      <font>
        <color theme="1"/>
      </font>
      <fill>
        <gradientFill>
          <stop position="0">
            <color theme="0"/>
          </stop>
          <stop position="0.5">
            <color rgb="FF0070C0"/>
          </stop>
          <stop position="1">
            <color theme="0"/>
          </stop>
        </gradientFill>
      </fill>
    </dxf>
    <dxf>
      <font>
        <color theme="1"/>
      </font>
      <fill>
        <patternFill>
          <bgColor rgb="FF0070C0"/>
        </patternFill>
      </fill>
    </dxf>
    <dxf>
      <font>
        <color theme="1"/>
      </font>
      <fill>
        <gradientFill>
          <stop position="0">
            <color theme="0"/>
          </stop>
          <stop position="0.5">
            <color rgb="FF00B050"/>
          </stop>
          <stop position="1">
            <color theme="0"/>
          </stop>
        </gradientFill>
      </fill>
    </dxf>
    <dxf>
      <font>
        <color theme="1"/>
      </font>
      <fill>
        <gradientFill>
          <stop position="0">
            <color theme="0"/>
          </stop>
          <stop position="0.5">
            <color rgb="FFC00000"/>
          </stop>
          <stop position="1">
            <color theme="0"/>
          </stop>
        </gradientFill>
      </fill>
    </dxf>
    <dxf>
      <font>
        <color theme="1"/>
      </font>
      <fill>
        <gradientFill>
          <stop position="0">
            <color theme="0"/>
          </stop>
          <stop position="0.5">
            <color theme="5" tint="-0.49803155613879818"/>
          </stop>
          <stop position="1">
            <color theme="0"/>
          </stop>
        </gradientFill>
      </fill>
    </dxf>
    <dxf>
      <font>
        <color theme="1"/>
      </font>
      <fill>
        <patternFill>
          <bgColor theme="5" tint="-0.499984740745262"/>
        </patternFill>
      </fill>
    </dxf>
    <dxf>
      <font>
        <color theme="1"/>
      </font>
      <fill>
        <patternFill>
          <bgColor rgb="FF00B050"/>
        </patternFill>
      </fill>
    </dxf>
    <dxf>
      <fill>
        <patternFill>
          <bgColor theme="5" tint="0.79998168889431442"/>
        </patternFill>
      </fill>
    </dxf>
    <dxf>
      <fill>
        <patternFill>
          <bgColor theme="5" tint="0.79998168889431442"/>
        </patternFill>
      </fill>
    </dxf>
    <dxf>
      <numFmt numFmtId="179" formatCode="&quot;du &quot;d\ mmm\ &quot;au&quot;"/>
    </dxf>
    <dxf>
      <font>
        <color rgb="FFFF0000"/>
      </font>
      <fill>
        <patternFill patternType="none">
          <bgColor auto="1"/>
        </patternFill>
      </fill>
    </dxf>
    <dxf>
      <font>
        <strike val="0"/>
        <color auto="1"/>
      </font>
      <fill>
        <patternFill>
          <bgColor rgb="FF92D050"/>
        </patternFill>
      </fill>
    </dxf>
    <dxf>
      <font>
        <strike val="0"/>
        <color auto="1"/>
      </font>
      <fill>
        <patternFill>
          <bgColor theme="7" tint="0.39994506668294322"/>
        </patternFill>
      </fill>
    </dxf>
    <dxf>
      <fill>
        <patternFill>
          <bgColor rgb="FFFF7C80"/>
        </patternFill>
      </fill>
    </dxf>
    <dxf>
      <fill>
        <patternFill>
          <bgColor rgb="FFFF0000"/>
        </patternFill>
      </fill>
    </dxf>
    <dxf>
      <font>
        <color rgb="FFFF0000"/>
      </font>
    </dxf>
    <dxf>
      <font>
        <b/>
        <i val="0"/>
      </font>
      <fill>
        <patternFill>
          <bgColor theme="0" tint="-4.9989318521683403E-2"/>
        </patternFill>
      </fill>
    </dxf>
    <dxf>
      <font>
        <b/>
        <i val="0"/>
      </font>
      <fill>
        <patternFill>
          <bgColor theme="0" tint="-4.9989318521683403E-2"/>
        </patternFill>
      </fill>
    </dxf>
    <dxf>
      <font>
        <b val="0"/>
        <i/>
      </font>
      <fill>
        <patternFill>
          <bgColor theme="7" tint="0.79998168889431442"/>
        </patternFill>
      </fill>
    </dxf>
  </dxfs>
  <tableStyles count="0" defaultTableStyle="TableStyleMedium2" defaultPivotStyle="PivotStyleLight16"/>
  <colors>
    <mruColors>
      <color rgb="FFFFFFCC"/>
      <color rgb="FFFFFF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CH" sz="1400"/>
              <a:t>Comparaison heures facturables ou non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869-4646-BED4-1BF2FF1FF1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869-4646-BED4-1BF2FF1FF15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'Journal de bord'!$L$27:$L$28</c:f>
              <c:strCache>
                <c:ptCount val="2"/>
                <c:pt idx="0">
                  <c:v>Total facturable</c:v>
                </c:pt>
                <c:pt idx="1">
                  <c:v>Total non-facturable</c:v>
                </c:pt>
              </c:strCache>
            </c:strRef>
          </c:cat>
          <c:val>
            <c:numRef>
              <c:f>'Journal de bord'!$O$27:$O$28</c:f>
              <c:numCache>
                <c:formatCode>0%</c:formatCode>
                <c:ptCount val="2"/>
                <c:pt idx="0">
                  <c:v>0</c:v>
                </c:pt>
                <c:pt idx="1">
                  <c:v>1</c:v>
                </c:pt>
              </c:numCache>
            </c:numRef>
          </c:val>
          <c:extLst>
            <c:ext xmlns:c16="http://schemas.microsoft.com/office/drawing/2014/chart" uri="{C3380CC4-5D6E-409C-BE32-E72D297353CC}">
              <c16:uniqueId val="{00000000-F950-4702-ADD5-E3D279BC03D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Répartition des tâches principales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B6D-4A4B-BD71-31FF16EA6328}"/>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6D-4A4B-BD71-31FF16EA6328}"/>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B6D-4A4B-BD71-31FF16EA6328}"/>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B6D-4A4B-BD71-31FF16EA6328}"/>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B6D-4A4B-BD71-31FF16EA63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Suivi!$A$32:$A$41</c:f>
              <c:strCache>
                <c:ptCount val="6"/>
                <c:pt idx="0">
                  <c:v>Administration</c:v>
                </c:pt>
                <c:pt idx="1">
                  <c:v>Design /Preview</c:v>
                </c:pt>
                <c:pt idx="2">
                  <c:v>Code</c:v>
                </c:pt>
                <c:pt idx="3">
                  <c:v>Base de données</c:v>
                </c:pt>
                <c:pt idx="4">
                  <c:v>Rendu au client</c:v>
                </c:pt>
                <c:pt idx="5">
                  <c:v>Achevement</c:v>
                </c:pt>
              </c:strCache>
            </c:strRef>
          </c:cat>
          <c:val>
            <c:numRef>
              <c:f>Suivi!$B$32:$B$41</c:f>
              <c:numCache>
                <c:formatCode>0%</c:formatCode>
                <c:ptCount val="10"/>
                <c:pt idx="0">
                  <c:v>0.84827586206896555</c:v>
                </c:pt>
                <c:pt idx="1">
                  <c:v>0</c:v>
                </c:pt>
                <c:pt idx="2">
                  <c:v>0.15172413793103445</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B6D-4A4B-BD71-31FF16EA6328}"/>
            </c:ext>
          </c:extLst>
        </c:ser>
        <c:dLbls>
          <c:dLblPos val="outEnd"/>
          <c:showLegendKey val="0"/>
          <c:showVal val="1"/>
          <c:showCatName val="0"/>
          <c:showSerName val="0"/>
          <c:showPercent val="0"/>
          <c:showBubbleSize val="0"/>
        </c:dLbls>
        <c:gapWidth val="100"/>
        <c:overlap val="-24"/>
        <c:axId val="452727456"/>
        <c:axId val="452730368"/>
      </c:barChart>
      <c:catAx>
        <c:axId val="4527274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2730368"/>
        <c:crosses val="autoZero"/>
        <c:auto val="1"/>
        <c:lblAlgn val="ctr"/>
        <c:lblOffset val="100"/>
        <c:noMultiLvlLbl val="0"/>
      </c:catAx>
      <c:valAx>
        <c:axId val="452730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272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BEC56FA-31B6-4F9D-8648-9706ADC45066}" type="doc">
      <dgm:prSet loTypeId="urn:microsoft.com/office/officeart/2005/8/layout/orgChart1" loCatId="hierarchy" qsTypeId="urn:microsoft.com/office/officeart/2005/8/quickstyle/simple1" qsCatId="simple" csTypeId="urn:microsoft.com/office/officeart/2005/8/colors/colorful5" csCatId="colorful" phldr="1"/>
      <dgm:spPr/>
      <dgm:t>
        <a:bodyPr/>
        <a:lstStyle/>
        <a:p>
          <a:endParaRPr lang="fr-CH"/>
        </a:p>
      </dgm:t>
    </dgm:pt>
    <dgm:pt modelId="{4534AE86-1A47-4ACF-9FC1-5E0E70230C71}">
      <dgm:prSet phldrT="[Texte]"/>
      <dgm:spPr/>
      <dgm:t>
        <a:bodyPr/>
        <a:lstStyle/>
        <a:p>
          <a:r>
            <a:rPr lang="fr-CH"/>
            <a:t>Projet site emprunt Multimédia</a:t>
          </a:r>
        </a:p>
      </dgm:t>
    </dgm:pt>
    <dgm:pt modelId="{65967CC5-F758-479B-9853-71C5D5769E6D}" type="parTrans" cxnId="{C197C0B8-D5A2-4714-A042-8361520A929C}">
      <dgm:prSet/>
      <dgm:spPr/>
      <dgm:t>
        <a:bodyPr/>
        <a:lstStyle/>
        <a:p>
          <a:endParaRPr lang="fr-CH"/>
        </a:p>
      </dgm:t>
    </dgm:pt>
    <dgm:pt modelId="{71ADCA46-A57C-46C8-9AC3-D93DCC05AF36}" type="sibTrans" cxnId="{C197C0B8-D5A2-4714-A042-8361520A929C}">
      <dgm:prSet/>
      <dgm:spPr/>
      <dgm:t>
        <a:bodyPr/>
        <a:lstStyle/>
        <a:p>
          <a:endParaRPr lang="fr-CH"/>
        </a:p>
      </dgm:t>
    </dgm:pt>
    <dgm:pt modelId="{03619001-6FF1-40A7-B0A0-3D39DD39E429}">
      <dgm:prSet phldrT="[Texte]"/>
      <dgm:spPr/>
      <dgm:t>
        <a:bodyPr/>
        <a:lstStyle/>
        <a:p>
          <a:r>
            <a:rPr lang="fr-CH"/>
            <a:t>Design /Preview</a:t>
          </a:r>
        </a:p>
      </dgm:t>
    </dgm:pt>
    <dgm:pt modelId="{93D6C48A-FFB3-426B-8018-DE777DDA4EB8}" type="parTrans" cxnId="{4D6B8148-8A6F-41C4-859A-B24C63D5B76F}">
      <dgm:prSet/>
      <dgm:spPr/>
      <dgm:t>
        <a:bodyPr/>
        <a:lstStyle/>
        <a:p>
          <a:endParaRPr lang="fr-CH"/>
        </a:p>
      </dgm:t>
    </dgm:pt>
    <dgm:pt modelId="{4DC5F875-4DB1-464B-BF88-BE16F1C2912D}" type="sibTrans" cxnId="{4D6B8148-8A6F-41C4-859A-B24C63D5B76F}">
      <dgm:prSet/>
      <dgm:spPr/>
      <dgm:t>
        <a:bodyPr/>
        <a:lstStyle/>
        <a:p>
          <a:endParaRPr lang="fr-CH"/>
        </a:p>
      </dgm:t>
    </dgm:pt>
    <dgm:pt modelId="{CE28276D-DDE3-46EB-888E-3FAF59EEB750}">
      <dgm:prSet phldrT="[Texte]"/>
      <dgm:spPr/>
      <dgm:t>
        <a:bodyPr/>
        <a:lstStyle/>
        <a:p>
          <a:r>
            <a:rPr lang="fr-CH"/>
            <a:t>Code </a:t>
          </a:r>
        </a:p>
      </dgm:t>
    </dgm:pt>
    <dgm:pt modelId="{7B4147F8-7A61-4BC7-A88F-00D7653016AB}" type="parTrans" cxnId="{532A8845-8645-4744-8989-9A00A19589A2}">
      <dgm:prSet/>
      <dgm:spPr/>
      <dgm:t>
        <a:bodyPr/>
        <a:lstStyle/>
        <a:p>
          <a:endParaRPr lang="fr-CH"/>
        </a:p>
      </dgm:t>
    </dgm:pt>
    <dgm:pt modelId="{51E7B266-3442-4A5F-B2A1-DF1442284C21}" type="sibTrans" cxnId="{532A8845-8645-4744-8989-9A00A19589A2}">
      <dgm:prSet/>
      <dgm:spPr/>
      <dgm:t>
        <a:bodyPr/>
        <a:lstStyle/>
        <a:p>
          <a:endParaRPr lang="fr-CH"/>
        </a:p>
      </dgm:t>
    </dgm:pt>
    <dgm:pt modelId="{A115D1C8-F13A-419C-A753-9CB48DDA3CEA}">
      <dgm:prSet phldrT="[Texte]"/>
      <dgm:spPr/>
      <dgm:t>
        <a:bodyPr/>
        <a:lstStyle/>
        <a:p>
          <a:r>
            <a:rPr lang="fr-CH"/>
            <a:t>Administration</a:t>
          </a:r>
        </a:p>
      </dgm:t>
    </dgm:pt>
    <dgm:pt modelId="{A9B84270-CEDD-4F7E-8D8D-E8734B9F6A05}" type="parTrans" cxnId="{3897244C-3563-409C-861F-A650A36986C7}">
      <dgm:prSet/>
      <dgm:spPr/>
      <dgm:t>
        <a:bodyPr/>
        <a:lstStyle/>
        <a:p>
          <a:endParaRPr lang="fr-CH"/>
        </a:p>
      </dgm:t>
    </dgm:pt>
    <dgm:pt modelId="{5B9B5078-1A4F-4CF6-A4BE-1465AB97F5AA}" type="sibTrans" cxnId="{3897244C-3563-409C-861F-A650A36986C7}">
      <dgm:prSet/>
      <dgm:spPr/>
      <dgm:t>
        <a:bodyPr/>
        <a:lstStyle/>
        <a:p>
          <a:endParaRPr lang="fr-CH"/>
        </a:p>
      </dgm:t>
    </dgm:pt>
    <dgm:pt modelId="{997E7C78-AE9B-44E5-924A-C9474B9A8DD6}">
      <dgm:prSet phldrT="[Texte]"/>
      <dgm:spPr/>
      <dgm:t>
        <a:bodyPr/>
        <a:lstStyle/>
        <a:p>
          <a:r>
            <a:rPr lang="fr-CH"/>
            <a:t>Séances</a:t>
          </a:r>
        </a:p>
      </dgm:t>
    </dgm:pt>
    <dgm:pt modelId="{3CBBAEAA-1D6F-4F37-AD8C-DB3C2BEA80B0}" type="parTrans" cxnId="{E9CA49AA-260B-4CAE-B399-F5BCC4B1E8F9}">
      <dgm:prSet/>
      <dgm:spPr/>
      <dgm:t>
        <a:bodyPr/>
        <a:lstStyle/>
        <a:p>
          <a:endParaRPr lang="fr-CH"/>
        </a:p>
      </dgm:t>
    </dgm:pt>
    <dgm:pt modelId="{39A1D66C-087B-434F-8FC2-15D6980826CB}" type="sibTrans" cxnId="{E9CA49AA-260B-4CAE-B399-F5BCC4B1E8F9}">
      <dgm:prSet/>
      <dgm:spPr/>
      <dgm:t>
        <a:bodyPr/>
        <a:lstStyle/>
        <a:p>
          <a:endParaRPr lang="fr-CH"/>
        </a:p>
      </dgm:t>
    </dgm:pt>
    <dgm:pt modelId="{C67A1EB7-9DBB-428F-A3C8-30F52DC84B07}">
      <dgm:prSet phldrT="[Texte]"/>
      <dgm:spPr/>
      <dgm:t>
        <a:bodyPr/>
        <a:lstStyle/>
        <a:p>
          <a:r>
            <a:rPr lang="fr-CH"/>
            <a:t>Rédaction PV</a:t>
          </a:r>
        </a:p>
      </dgm:t>
    </dgm:pt>
    <dgm:pt modelId="{80231017-7CFE-4904-98E9-F820802D1A3F}" type="parTrans" cxnId="{271A44BB-A0A6-46E8-9E96-F154BBCF508C}">
      <dgm:prSet/>
      <dgm:spPr/>
      <dgm:t>
        <a:bodyPr/>
        <a:lstStyle/>
        <a:p>
          <a:endParaRPr lang="fr-CH"/>
        </a:p>
      </dgm:t>
    </dgm:pt>
    <dgm:pt modelId="{953D5461-0096-4D2A-9365-2475CBB75D7A}" type="sibTrans" cxnId="{271A44BB-A0A6-46E8-9E96-F154BBCF508C}">
      <dgm:prSet/>
      <dgm:spPr/>
      <dgm:t>
        <a:bodyPr/>
        <a:lstStyle/>
        <a:p>
          <a:endParaRPr lang="fr-CH"/>
        </a:p>
      </dgm:t>
    </dgm:pt>
    <dgm:pt modelId="{2A961098-EB48-1F44-8D2A-022E4A3D7D69}">
      <dgm:prSet phldrT="[Texte]"/>
      <dgm:spPr/>
      <dgm:t>
        <a:bodyPr/>
        <a:lstStyle/>
        <a:p>
          <a:r>
            <a:rPr lang="fr-CH"/>
            <a:t>Organigramme</a:t>
          </a:r>
        </a:p>
      </dgm:t>
    </dgm:pt>
    <dgm:pt modelId="{67052CCC-6479-104D-B179-C39F3ADA02B8}" type="parTrans" cxnId="{FEB0A62E-F9D9-7B42-8A47-9303543F55BC}">
      <dgm:prSet/>
      <dgm:spPr/>
      <dgm:t>
        <a:bodyPr/>
        <a:lstStyle/>
        <a:p>
          <a:endParaRPr lang="fr-FR"/>
        </a:p>
      </dgm:t>
    </dgm:pt>
    <dgm:pt modelId="{8D5FA214-0665-E848-A175-03233635F50A}" type="sibTrans" cxnId="{FEB0A62E-F9D9-7B42-8A47-9303543F55BC}">
      <dgm:prSet/>
      <dgm:spPr/>
      <dgm:t>
        <a:bodyPr/>
        <a:lstStyle/>
        <a:p>
          <a:endParaRPr lang="fr-FR"/>
        </a:p>
      </dgm:t>
    </dgm:pt>
    <dgm:pt modelId="{1B85A6C6-54EF-DF4B-BF21-AE64ED708E50}">
      <dgm:prSet phldrT="[Texte]"/>
      <dgm:spPr/>
      <dgm:t>
        <a:bodyPr/>
        <a:lstStyle/>
        <a:p>
          <a:r>
            <a:rPr lang="fr-CH"/>
            <a:t>Cahier des charges</a:t>
          </a:r>
        </a:p>
      </dgm:t>
    </dgm:pt>
    <dgm:pt modelId="{69F055B6-44D3-674E-B4E8-47078DC8FE97}" type="parTrans" cxnId="{7F39A16E-1B0C-3F40-809F-211DC033ECE5}">
      <dgm:prSet/>
      <dgm:spPr/>
      <dgm:t>
        <a:bodyPr/>
        <a:lstStyle/>
        <a:p>
          <a:endParaRPr lang="fr-FR"/>
        </a:p>
      </dgm:t>
    </dgm:pt>
    <dgm:pt modelId="{438FB781-129F-0840-9767-AA82DE2A362F}" type="sibTrans" cxnId="{7F39A16E-1B0C-3F40-809F-211DC033ECE5}">
      <dgm:prSet/>
      <dgm:spPr/>
      <dgm:t>
        <a:bodyPr/>
        <a:lstStyle/>
        <a:p>
          <a:endParaRPr lang="fr-FR"/>
        </a:p>
      </dgm:t>
    </dgm:pt>
    <dgm:pt modelId="{3B040E46-0F24-7E4D-80FE-3E7429E373EC}">
      <dgm:prSet phldrT="[Texte]"/>
      <dgm:spPr/>
      <dgm:t>
        <a:bodyPr/>
        <a:lstStyle/>
        <a:p>
          <a:pPr>
            <a:buNone/>
          </a:pPr>
          <a:r>
            <a:rPr lang="fr-CH"/>
            <a:t>Fichier d’évaluations pour le coach, </a:t>
          </a:r>
        </a:p>
      </dgm:t>
    </dgm:pt>
    <dgm:pt modelId="{09BA663C-7E95-7A45-9E53-7E01D46CDD02}" type="parTrans" cxnId="{473514BB-A924-E243-9563-DCD1D7458A8A}">
      <dgm:prSet/>
      <dgm:spPr/>
      <dgm:t>
        <a:bodyPr/>
        <a:lstStyle/>
        <a:p>
          <a:endParaRPr lang="fr-FR"/>
        </a:p>
      </dgm:t>
    </dgm:pt>
    <dgm:pt modelId="{A677707F-FE28-AB41-B799-3EABB28AC866}" type="sibTrans" cxnId="{473514BB-A924-E243-9563-DCD1D7458A8A}">
      <dgm:prSet/>
      <dgm:spPr/>
      <dgm:t>
        <a:bodyPr/>
        <a:lstStyle/>
        <a:p>
          <a:endParaRPr lang="fr-FR"/>
        </a:p>
      </dgm:t>
    </dgm:pt>
    <dgm:pt modelId="{DF69276E-7E15-104F-8599-55DFBBBDA39A}">
      <dgm:prSet phldrT="[Texte]"/>
      <dgm:spPr/>
      <dgm:t>
        <a:bodyPr/>
        <a:lstStyle/>
        <a:p>
          <a:pPr>
            <a:buNone/>
          </a:pPr>
          <a:r>
            <a:rPr lang="fr-CH"/>
            <a:t>Planifier RDV avec coach</a:t>
          </a:r>
        </a:p>
      </dgm:t>
    </dgm:pt>
    <dgm:pt modelId="{51279E38-ADFB-4344-B276-4CCF520AE3E2}" type="parTrans" cxnId="{8DFDD822-2083-5046-BAE8-05E96C63DE47}">
      <dgm:prSet/>
      <dgm:spPr/>
      <dgm:t>
        <a:bodyPr/>
        <a:lstStyle/>
        <a:p>
          <a:endParaRPr lang="fr-FR"/>
        </a:p>
      </dgm:t>
    </dgm:pt>
    <dgm:pt modelId="{4206DF26-E0EC-2E44-96D8-BA8CA7A6BC6D}" type="sibTrans" cxnId="{8DFDD822-2083-5046-BAE8-05E96C63DE47}">
      <dgm:prSet/>
      <dgm:spPr/>
      <dgm:t>
        <a:bodyPr/>
        <a:lstStyle/>
        <a:p>
          <a:endParaRPr lang="fr-FR"/>
        </a:p>
      </dgm:t>
    </dgm:pt>
    <dgm:pt modelId="{22F77AF8-4EF6-DE4B-8D4F-7BC90150E3AC}">
      <dgm:prSet phldrT="[Texte]"/>
      <dgm:spPr/>
      <dgm:t>
        <a:bodyPr/>
        <a:lstStyle/>
        <a:p>
          <a:pPr>
            <a:buNone/>
          </a:pPr>
          <a:r>
            <a:rPr lang="fr-CH"/>
            <a:t>Devis</a:t>
          </a:r>
        </a:p>
      </dgm:t>
    </dgm:pt>
    <dgm:pt modelId="{C93C532E-1366-D547-87D7-1AF8DAB480BE}" type="parTrans" cxnId="{3F853DB6-A49E-8F43-B2AA-A9928A202D9F}">
      <dgm:prSet/>
      <dgm:spPr/>
      <dgm:t>
        <a:bodyPr/>
        <a:lstStyle/>
        <a:p>
          <a:endParaRPr lang="fr-FR"/>
        </a:p>
      </dgm:t>
    </dgm:pt>
    <dgm:pt modelId="{A1C2D139-9FB2-424D-8736-9D25B198BCFD}" type="sibTrans" cxnId="{3F853DB6-A49E-8F43-B2AA-A9928A202D9F}">
      <dgm:prSet/>
      <dgm:spPr/>
      <dgm:t>
        <a:bodyPr/>
        <a:lstStyle/>
        <a:p>
          <a:endParaRPr lang="fr-FR"/>
        </a:p>
      </dgm:t>
    </dgm:pt>
    <dgm:pt modelId="{603457C1-56D5-A446-93E6-496100D0586B}">
      <dgm:prSet phldrT="[Texte]"/>
      <dgm:spPr/>
      <dgm:t>
        <a:bodyPr/>
        <a:lstStyle/>
        <a:p>
          <a:pPr>
            <a:buNone/>
          </a:pPr>
          <a:r>
            <a:rPr lang="fr-CH"/>
            <a:t>Facturation</a:t>
          </a:r>
        </a:p>
      </dgm:t>
    </dgm:pt>
    <dgm:pt modelId="{0C65FD1B-7E59-BE40-8493-4B3B9FA1BDC0}" type="parTrans" cxnId="{180717F4-15E4-8F4E-A90A-5D7AD313F9AF}">
      <dgm:prSet/>
      <dgm:spPr/>
      <dgm:t>
        <a:bodyPr/>
        <a:lstStyle/>
        <a:p>
          <a:endParaRPr lang="fr-FR"/>
        </a:p>
      </dgm:t>
    </dgm:pt>
    <dgm:pt modelId="{463D3B99-69CF-EC49-B2BC-6C714C0F639F}" type="sibTrans" cxnId="{180717F4-15E4-8F4E-A90A-5D7AD313F9AF}">
      <dgm:prSet/>
      <dgm:spPr/>
      <dgm:t>
        <a:bodyPr/>
        <a:lstStyle/>
        <a:p>
          <a:endParaRPr lang="fr-FR"/>
        </a:p>
      </dgm:t>
    </dgm:pt>
    <dgm:pt modelId="{6C1F77A9-3B73-524D-9EC6-5DAFBA611496}">
      <dgm:prSet phldrT="[Texte]"/>
      <dgm:spPr/>
      <dgm:t>
        <a:bodyPr/>
        <a:lstStyle/>
        <a:p>
          <a:r>
            <a:rPr lang="fr-CH"/>
            <a:t>Moodboard</a:t>
          </a:r>
        </a:p>
      </dgm:t>
    </dgm:pt>
    <dgm:pt modelId="{C917B961-4C73-524E-94AB-914C3CD69522}" type="parTrans" cxnId="{2EA04817-BFAB-6C41-814E-25AED19675B4}">
      <dgm:prSet/>
      <dgm:spPr/>
      <dgm:t>
        <a:bodyPr/>
        <a:lstStyle/>
        <a:p>
          <a:endParaRPr lang="fr-FR"/>
        </a:p>
      </dgm:t>
    </dgm:pt>
    <dgm:pt modelId="{C3B78D47-2865-FC4A-BBCC-BBEB91CE4890}" type="sibTrans" cxnId="{2EA04817-BFAB-6C41-814E-25AED19675B4}">
      <dgm:prSet/>
      <dgm:spPr/>
      <dgm:t>
        <a:bodyPr/>
        <a:lstStyle/>
        <a:p>
          <a:endParaRPr lang="fr-FR"/>
        </a:p>
      </dgm:t>
    </dgm:pt>
    <dgm:pt modelId="{EFAE24B2-8991-984E-B919-EF7041490E9A}">
      <dgm:prSet phldrT="[Texte]"/>
      <dgm:spPr/>
      <dgm:t>
        <a:bodyPr/>
        <a:lstStyle/>
        <a:p>
          <a:r>
            <a:rPr lang="fr-CH"/>
            <a:t>Croquis</a:t>
          </a:r>
        </a:p>
      </dgm:t>
    </dgm:pt>
    <dgm:pt modelId="{E324F19D-05C3-2C49-BBA8-B13AD96AAB44}" type="parTrans" cxnId="{EBA42092-28EE-144F-9783-F447B9D813B1}">
      <dgm:prSet/>
      <dgm:spPr/>
      <dgm:t>
        <a:bodyPr/>
        <a:lstStyle/>
        <a:p>
          <a:endParaRPr lang="fr-FR"/>
        </a:p>
      </dgm:t>
    </dgm:pt>
    <dgm:pt modelId="{8C3FA787-0C00-864F-8147-A8BB75C87A89}" type="sibTrans" cxnId="{EBA42092-28EE-144F-9783-F447B9D813B1}">
      <dgm:prSet/>
      <dgm:spPr/>
      <dgm:t>
        <a:bodyPr/>
        <a:lstStyle/>
        <a:p>
          <a:endParaRPr lang="fr-FR"/>
        </a:p>
      </dgm:t>
    </dgm:pt>
    <dgm:pt modelId="{EE58DEFF-99C9-864F-9F8F-3AF390CF57F1}">
      <dgm:prSet phldrT="[Texte]"/>
      <dgm:spPr/>
      <dgm:t>
        <a:bodyPr/>
        <a:lstStyle/>
        <a:p>
          <a:r>
            <a:rPr lang="fr-CH"/>
            <a:t>WireFrame</a:t>
          </a:r>
        </a:p>
      </dgm:t>
    </dgm:pt>
    <dgm:pt modelId="{E60CA3EE-F754-0F47-94E8-76E159FE4EB9}" type="parTrans" cxnId="{5D593850-48AB-3940-A445-36A5B040F988}">
      <dgm:prSet/>
      <dgm:spPr/>
      <dgm:t>
        <a:bodyPr/>
        <a:lstStyle/>
        <a:p>
          <a:endParaRPr lang="fr-FR"/>
        </a:p>
      </dgm:t>
    </dgm:pt>
    <dgm:pt modelId="{FD86EC94-0233-9A4D-A16E-AA939B47CD06}" type="sibTrans" cxnId="{5D593850-48AB-3940-A445-36A5B040F988}">
      <dgm:prSet/>
      <dgm:spPr/>
      <dgm:t>
        <a:bodyPr/>
        <a:lstStyle/>
        <a:p>
          <a:endParaRPr lang="fr-FR"/>
        </a:p>
      </dgm:t>
    </dgm:pt>
    <dgm:pt modelId="{73473BFD-28C7-4844-9584-9A6EBBFC3D79}">
      <dgm:prSet/>
      <dgm:spPr/>
      <dgm:t>
        <a:bodyPr/>
        <a:lstStyle/>
        <a:p>
          <a:r>
            <a:rPr lang="fr-FR"/>
            <a:t>Base de données</a:t>
          </a:r>
        </a:p>
      </dgm:t>
    </dgm:pt>
    <dgm:pt modelId="{3F766F1E-DD46-304B-BCEC-928C93987C6C}" type="parTrans" cxnId="{0FE86507-1A61-9844-A066-363195DDA2B3}">
      <dgm:prSet/>
      <dgm:spPr/>
      <dgm:t>
        <a:bodyPr/>
        <a:lstStyle/>
        <a:p>
          <a:endParaRPr lang="fr-FR"/>
        </a:p>
      </dgm:t>
    </dgm:pt>
    <dgm:pt modelId="{12954914-2E34-3F44-8A5C-256CA4E9AEB3}" type="sibTrans" cxnId="{0FE86507-1A61-9844-A066-363195DDA2B3}">
      <dgm:prSet/>
      <dgm:spPr/>
      <dgm:t>
        <a:bodyPr/>
        <a:lstStyle/>
        <a:p>
          <a:endParaRPr lang="fr-FR"/>
        </a:p>
      </dgm:t>
    </dgm:pt>
    <dgm:pt modelId="{FA3E2F2F-7E82-E24B-82FC-B6BDAE7AA4A2}">
      <dgm:prSet/>
      <dgm:spPr/>
      <dgm:t>
        <a:bodyPr/>
        <a:lstStyle/>
        <a:p>
          <a:r>
            <a:rPr lang="fr-FR"/>
            <a:t>Rendu au client</a:t>
          </a:r>
        </a:p>
      </dgm:t>
    </dgm:pt>
    <dgm:pt modelId="{FE049FB3-2F8B-1842-ADB3-B82609822389}" type="parTrans" cxnId="{64F55764-681A-824D-B715-D07C3B824857}">
      <dgm:prSet/>
      <dgm:spPr/>
      <dgm:t>
        <a:bodyPr/>
        <a:lstStyle/>
        <a:p>
          <a:endParaRPr lang="fr-FR"/>
        </a:p>
      </dgm:t>
    </dgm:pt>
    <dgm:pt modelId="{716F6070-CA14-7F4F-892C-C53AF3123FDB}" type="sibTrans" cxnId="{64F55764-681A-824D-B715-D07C3B824857}">
      <dgm:prSet/>
      <dgm:spPr/>
      <dgm:t>
        <a:bodyPr/>
        <a:lstStyle/>
        <a:p>
          <a:endParaRPr lang="fr-FR"/>
        </a:p>
      </dgm:t>
    </dgm:pt>
    <dgm:pt modelId="{B8A63D67-F3C9-8E41-B6AE-5E831AF408DA}">
      <dgm:prSet/>
      <dgm:spPr/>
      <dgm:t>
        <a:bodyPr/>
        <a:lstStyle/>
        <a:p>
          <a:r>
            <a:rPr lang="fr-FR"/>
            <a:t>Achevement</a:t>
          </a:r>
        </a:p>
      </dgm:t>
    </dgm:pt>
    <dgm:pt modelId="{79C043E8-1F58-4B4B-A29D-6EE2BAA5C255}" type="parTrans" cxnId="{65938F85-C91A-B04A-84C6-9D984AA62E49}">
      <dgm:prSet/>
      <dgm:spPr/>
      <dgm:t>
        <a:bodyPr/>
        <a:lstStyle/>
        <a:p>
          <a:endParaRPr lang="fr-FR"/>
        </a:p>
      </dgm:t>
    </dgm:pt>
    <dgm:pt modelId="{218501CA-F7B8-964B-B03C-684F738B388F}" type="sibTrans" cxnId="{65938F85-C91A-B04A-84C6-9D984AA62E49}">
      <dgm:prSet/>
      <dgm:spPr/>
      <dgm:t>
        <a:bodyPr/>
        <a:lstStyle/>
        <a:p>
          <a:endParaRPr lang="fr-FR"/>
        </a:p>
      </dgm:t>
    </dgm:pt>
    <dgm:pt modelId="{C168EA07-4CD4-424E-B162-C80A06057EF7}">
      <dgm:prSet/>
      <dgm:spPr/>
      <dgm:t>
        <a:bodyPr/>
        <a:lstStyle/>
        <a:p>
          <a:r>
            <a:rPr lang="fr-FR"/>
            <a:t>Planche de présentation</a:t>
          </a:r>
        </a:p>
      </dgm:t>
    </dgm:pt>
    <dgm:pt modelId="{450D8A5D-67B7-3C48-8169-C171E9187620}" type="parTrans" cxnId="{EF10556E-1FA7-A445-AC86-3494A9D9A54A}">
      <dgm:prSet/>
      <dgm:spPr/>
      <dgm:t>
        <a:bodyPr/>
        <a:lstStyle/>
        <a:p>
          <a:endParaRPr lang="fr-FR"/>
        </a:p>
      </dgm:t>
    </dgm:pt>
    <dgm:pt modelId="{C554D2A8-4422-4D48-93B1-0C3E5127E9C6}" type="sibTrans" cxnId="{EF10556E-1FA7-A445-AC86-3494A9D9A54A}">
      <dgm:prSet/>
      <dgm:spPr/>
      <dgm:t>
        <a:bodyPr/>
        <a:lstStyle/>
        <a:p>
          <a:endParaRPr lang="fr-FR"/>
        </a:p>
      </dgm:t>
    </dgm:pt>
    <dgm:pt modelId="{959DC754-6DD2-374A-8263-24E4AFD8EA5B}">
      <dgm:prSet/>
      <dgm:spPr/>
      <dgm:t>
        <a:bodyPr/>
        <a:lstStyle/>
        <a:p>
          <a:r>
            <a:rPr lang="fr-FR"/>
            <a:t>Arichvement</a:t>
          </a:r>
        </a:p>
      </dgm:t>
    </dgm:pt>
    <dgm:pt modelId="{15D051A4-D174-B847-8196-85F6C2611588}" type="parTrans" cxnId="{6D8732B1-7ED5-FC40-AC8F-5962B73E905E}">
      <dgm:prSet/>
      <dgm:spPr/>
      <dgm:t>
        <a:bodyPr/>
        <a:lstStyle/>
        <a:p>
          <a:endParaRPr lang="fr-FR"/>
        </a:p>
      </dgm:t>
    </dgm:pt>
    <dgm:pt modelId="{050A663E-F1AE-F346-A825-E63757ED0028}" type="sibTrans" cxnId="{6D8732B1-7ED5-FC40-AC8F-5962B73E905E}">
      <dgm:prSet/>
      <dgm:spPr/>
      <dgm:t>
        <a:bodyPr/>
        <a:lstStyle/>
        <a:p>
          <a:endParaRPr lang="fr-FR"/>
        </a:p>
      </dgm:t>
    </dgm:pt>
    <dgm:pt modelId="{2AF16CBB-E6C9-2447-A8B7-C50DF309B7D9}">
      <dgm:prSet/>
      <dgm:spPr/>
      <dgm:t>
        <a:bodyPr/>
        <a:lstStyle/>
        <a:p>
          <a:r>
            <a:rPr lang="fr-FR"/>
            <a:t>Html</a:t>
          </a:r>
        </a:p>
      </dgm:t>
    </dgm:pt>
    <dgm:pt modelId="{C89E6E92-9E05-CD4E-A5ED-EAFB6FE5BB93}" type="parTrans" cxnId="{2A1EFD61-CEAF-2846-AB1C-14382628C1D8}">
      <dgm:prSet/>
      <dgm:spPr/>
      <dgm:t>
        <a:bodyPr/>
        <a:lstStyle/>
        <a:p>
          <a:endParaRPr lang="fr-FR"/>
        </a:p>
      </dgm:t>
    </dgm:pt>
    <dgm:pt modelId="{66F2B195-1933-0841-AB5D-75D19A7ED62B}" type="sibTrans" cxnId="{2A1EFD61-CEAF-2846-AB1C-14382628C1D8}">
      <dgm:prSet/>
      <dgm:spPr/>
      <dgm:t>
        <a:bodyPr/>
        <a:lstStyle/>
        <a:p>
          <a:endParaRPr lang="fr-FR"/>
        </a:p>
      </dgm:t>
    </dgm:pt>
    <dgm:pt modelId="{84FEEDB2-F486-284F-BB2B-B5D5BDAA73B7}">
      <dgm:prSet/>
      <dgm:spPr/>
      <dgm:t>
        <a:bodyPr/>
        <a:lstStyle/>
        <a:p>
          <a:r>
            <a:rPr lang="fr-FR"/>
            <a:t>CSS</a:t>
          </a:r>
        </a:p>
      </dgm:t>
    </dgm:pt>
    <dgm:pt modelId="{095C8E63-821E-C64B-9F9A-24EDAF3BB747}" type="parTrans" cxnId="{950767A8-E1AD-9544-8D04-10A61F570DB3}">
      <dgm:prSet/>
      <dgm:spPr/>
      <dgm:t>
        <a:bodyPr/>
        <a:lstStyle/>
        <a:p>
          <a:endParaRPr lang="fr-FR"/>
        </a:p>
      </dgm:t>
    </dgm:pt>
    <dgm:pt modelId="{53E9D90C-3220-CF46-BF35-23372FADFE66}" type="sibTrans" cxnId="{950767A8-E1AD-9544-8D04-10A61F570DB3}">
      <dgm:prSet/>
      <dgm:spPr/>
      <dgm:t>
        <a:bodyPr/>
        <a:lstStyle/>
        <a:p>
          <a:endParaRPr lang="fr-FR"/>
        </a:p>
      </dgm:t>
    </dgm:pt>
    <dgm:pt modelId="{B6033CCE-D4C9-694F-9433-4B6A3D5AC6C2}">
      <dgm:prSet/>
      <dgm:spPr/>
      <dgm:t>
        <a:bodyPr/>
        <a:lstStyle/>
        <a:p>
          <a:r>
            <a:rPr lang="fr-FR"/>
            <a:t>JS</a:t>
          </a:r>
        </a:p>
      </dgm:t>
    </dgm:pt>
    <dgm:pt modelId="{316736A1-2974-774F-83F3-2DC568B12A9F}" type="parTrans" cxnId="{49B053BB-35B4-464F-8367-77B95588BB68}">
      <dgm:prSet/>
      <dgm:spPr/>
      <dgm:t>
        <a:bodyPr/>
        <a:lstStyle/>
        <a:p>
          <a:endParaRPr lang="fr-FR"/>
        </a:p>
      </dgm:t>
    </dgm:pt>
    <dgm:pt modelId="{72F68F2E-43F4-DE48-9F05-C1B60CAE7F30}" type="sibTrans" cxnId="{49B053BB-35B4-464F-8367-77B95588BB68}">
      <dgm:prSet/>
      <dgm:spPr/>
      <dgm:t>
        <a:bodyPr/>
        <a:lstStyle/>
        <a:p>
          <a:endParaRPr lang="fr-FR"/>
        </a:p>
      </dgm:t>
    </dgm:pt>
    <dgm:pt modelId="{01FBB675-D0A5-4AC0-9D40-09377EC1C2A3}" type="pres">
      <dgm:prSet presAssocID="{DBEC56FA-31B6-4F9D-8648-9706ADC45066}" presName="hierChild1" presStyleCnt="0">
        <dgm:presLayoutVars>
          <dgm:orgChart val="1"/>
          <dgm:chPref val="1"/>
          <dgm:dir/>
          <dgm:animOne val="branch"/>
          <dgm:animLvl val="lvl"/>
          <dgm:resizeHandles/>
        </dgm:presLayoutVars>
      </dgm:prSet>
      <dgm:spPr/>
    </dgm:pt>
    <dgm:pt modelId="{B71878A2-6F55-4F39-B919-44E307D81AFE}" type="pres">
      <dgm:prSet presAssocID="{4534AE86-1A47-4ACF-9FC1-5E0E70230C71}" presName="hierRoot1" presStyleCnt="0">
        <dgm:presLayoutVars>
          <dgm:hierBranch val="init"/>
        </dgm:presLayoutVars>
      </dgm:prSet>
      <dgm:spPr/>
    </dgm:pt>
    <dgm:pt modelId="{ED6C9F71-529E-4534-AC6E-929E41E019C4}" type="pres">
      <dgm:prSet presAssocID="{4534AE86-1A47-4ACF-9FC1-5E0E70230C71}" presName="rootComposite1" presStyleCnt="0"/>
      <dgm:spPr/>
    </dgm:pt>
    <dgm:pt modelId="{5AF7FB57-F630-46E8-A88D-D64D6C90E401}" type="pres">
      <dgm:prSet presAssocID="{4534AE86-1A47-4ACF-9FC1-5E0E70230C71}" presName="rootText1" presStyleLbl="node0" presStyleIdx="0" presStyleCnt="1" custScaleX="174753">
        <dgm:presLayoutVars>
          <dgm:chPref val="3"/>
        </dgm:presLayoutVars>
      </dgm:prSet>
      <dgm:spPr/>
    </dgm:pt>
    <dgm:pt modelId="{55B7E19E-0BF7-448B-9531-44202EF72E9F}" type="pres">
      <dgm:prSet presAssocID="{4534AE86-1A47-4ACF-9FC1-5E0E70230C71}" presName="rootConnector1" presStyleLbl="node1" presStyleIdx="0" presStyleCnt="0"/>
      <dgm:spPr/>
    </dgm:pt>
    <dgm:pt modelId="{1F44325C-7C70-4307-96C4-EF2BCC9B5044}" type="pres">
      <dgm:prSet presAssocID="{4534AE86-1A47-4ACF-9FC1-5E0E70230C71}" presName="hierChild2" presStyleCnt="0"/>
      <dgm:spPr/>
    </dgm:pt>
    <dgm:pt modelId="{B038634F-D613-46FA-97E7-845920CBF28D}" type="pres">
      <dgm:prSet presAssocID="{A9B84270-CEDD-4F7E-8D8D-E8734B9F6A05}" presName="Name37" presStyleLbl="parChTrans1D2" presStyleIdx="0" presStyleCnt="6"/>
      <dgm:spPr/>
    </dgm:pt>
    <dgm:pt modelId="{39AC9FCB-9A57-45DF-9880-BCD79BB57B77}" type="pres">
      <dgm:prSet presAssocID="{A115D1C8-F13A-419C-A753-9CB48DDA3CEA}" presName="hierRoot2" presStyleCnt="0">
        <dgm:presLayoutVars>
          <dgm:hierBranch val="init"/>
        </dgm:presLayoutVars>
      </dgm:prSet>
      <dgm:spPr/>
    </dgm:pt>
    <dgm:pt modelId="{99A93CC3-2312-452C-8C63-83061F3410DB}" type="pres">
      <dgm:prSet presAssocID="{A115D1C8-F13A-419C-A753-9CB48DDA3CEA}" presName="rootComposite" presStyleCnt="0"/>
      <dgm:spPr/>
    </dgm:pt>
    <dgm:pt modelId="{C85CEC50-53E4-4B02-89DA-95B0F4C5533B}" type="pres">
      <dgm:prSet presAssocID="{A115D1C8-F13A-419C-A753-9CB48DDA3CEA}" presName="rootText" presStyleLbl="node2" presStyleIdx="0" presStyleCnt="6" custLinFactNeighborX="22038" custLinFactNeighborY="11832">
        <dgm:presLayoutVars>
          <dgm:chPref val="3"/>
        </dgm:presLayoutVars>
      </dgm:prSet>
      <dgm:spPr/>
    </dgm:pt>
    <dgm:pt modelId="{2AFE797C-2B54-4127-BDF0-9A30B9D5E7F5}" type="pres">
      <dgm:prSet presAssocID="{A115D1C8-F13A-419C-A753-9CB48DDA3CEA}" presName="rootConnector" presStyleLbl="node2" presStyleIdx="0" presStyleCnt="6"/>
      <dgm:spPr/>
    </dgm:pt>
    <dgm:pt modelId="{92EB7E14-4B8E-4D12-9726-50A902018361}" type="pres">
      <dgm:prSet presAssocID="{A115D1C8-F13A-419C-A753-9CB48DDA3CEA}" presName="hierChild4" presStyleCnt="0"/>
      <dgm:spPr/>
    </dgm:pt>
    <dgm:pt modelId="{3C42FE75-F571-4C9D-8040-F34A1B613B2E}" type="pres">
      <dgm:prSet presAssocID="{3CBBAEAA-1D6F-4F37-AD8C-DB3C2BEA80B0}" presName="Name37" presStyleLbl="parChTrans1D3" presStyleIdx="0" presStyleCnt="16"/>
      <dgm:spPr/>
    </dgm:pt>
    <dgm:pt modelId="{19C35DA6-4FA5-484B-9559-C952EFF9B7AC}" type="pres">
      <dgm:prSet presAssocID="{997E7C78-AE9B-44E5-924A-C9474B9A8DD6}" presName="hierRoot2" presStyleCnt="0">
        <dgm:presLayoutVars>
          <dgm:hierBranch val="init"/>
        </dgm:presLayoutVars>
      </dgm:prSet>
      <dgm:spPr/>
    </dgm:pt>
    <dgm:pt modelId="{5C5EB36F-FB92-4D70-96B3-DB4AFEB1C0C8}" type="pres">
      <dgm:prSet presAssocID="{997E7C78-AE9B-44E5-924A-C9474B9A8DD6}" presName="rootComposite" presStyleCnt="0"/>
      <dgm:spPr/>
    </dgm:pt>
    <dgm:pt modelId="{EA655C49-C43A-41E7-9F7E-2A0B66756ED1}" type="pres">
      <dgm:prSet presAssocID="{997E7C78-AE9B-44E5-924A-C9474B9A8DD6}" presName="rootText" presStyleLbl="node3" presStyleIdx="0" presStyleCnt="16" custLinFactX="-1554" custLinFactY="6303" custLinFactNeighborX="-100000" custLinFactNeighborY="100000">
        <dgm:presLayoutVars>
          <dgm:chPref val="3"/>
        </dgm:presLayoutVars>
      </dgm:prSet>
      <dgm:spPr/>
    </dgm:pt>
    <dgm:pt modelId="{42CEB9A3-559F-4706-B78C-AD81814F9181}" type="pres">
      <dgm:prSet presAssocID="{997E7C78-AE9B-44E5-924A-C9474B9A8DD6}" presName="rootConnector" presStyleLbl="node3" presStyleIdx="0" presStyleCnt="16"/>
      <dgm:spPr/>
    </dgm:pt>
    <dgm:pt modelId="{D698E857-E656-448A-96B1-DF54C1F916A8}" type="pres">
      <dgm:prSet presAssocID="{997E7C78-AE9B-44E5-924A-C9474B9A8DD6}" presName="hierChild4" presStyleCnt="0"/>
      <dgm:spPr/>
    </dgm:pt>
    <dgm:pt modelId="{564B2E8B-C4A6-48A4-B1B4-7A7A467EE16F}" type="pres">
      <dgm:prSet presAssocID="{997E7C78-AE9B-44E5-924A-C9474B9A8DD6}" presName="hierChild5" presStyleCnt="0"/>
      <dgm:spPr/>
    </dgm:pt>
    <dgm:pt modelId="{7C4FA640-54C5-4531-8DAF-C7B07D64BF81}" type="pres">
      <dgm:prSet presAssocID="{80231017-7CFE-4904-98E9-F820802D1A3F}" presName="Name37" presStyleLbl="parChTrans1D3" presStyleIdx="1" presStyleCnt="16"/>
      <dgm:spPr/>
    </dgm:pt>
    <dgm:pt modelId="{13D48AEB-A141-461C-B547-2AD06BF865AA}" type="pres">
      <dgm:prSet presAssocID="{C67A1EB7-9DBB-428F-A3C8-30F52DC84B07}" presName="hierRoot2" presStyleCnt="0">
        <dgm:presLayoutVars>
          <dgm:hierBranch val="init"/>
        </dgm:presLayoutVars>
      </dgm:prSet>
      <dgm:spPr/>
    </dgm:pt>
    <dgm:pt modelId="{EF86820A-3154-4070-AA40-A67011877DA0}" type="pres">
      <dgm:prSet presAssocID="{C67A1EB7-9DBB-428F-A3C8-30F52DC84B07}" presName="rootComposite" presStyleCnt="0"/>
      <dgm:spPr/>
    </dgm:pt>
    <dgm:pt modelId="{8FAED61E-0CEE-4A88-96CF-E5AD99493BA7}" type="pres">
      <dgm:prSet presAssocID="{C67A1EB7-9DBB-428F-A3C8-30F52DC84B07}" presName="rootText" presStyleLbl="node3" presStyleIdx="1" presStyleCnt="16" custLinFactX="-1554" custLinFactNeighborX="-100000" custLinFactNeighborY="90532">
        <dgm:presLayoutVars>
          <dgm:chPref val="3"/>
        </dgm:presLayoutVars>
      </dgm:prSet>
      <dgm:spPr/>
    </dgm:pt>
    <dgm:pt modelId="{A3AB3C5E-9190-44B7-809C-0621B7AED697}" type="pres">
      <dgm:prSet presAssocID="{C67A1EB7-9DBB-428F-A3C8-30F52DC84B07}" presName="rootConnector" presStyleLbl="node3" presStyleIdx="1" presStyleCnt="16"/>
      <dgm:spPr/>
    </dgm:pt>
    <dgm:pt modelId="{D7961B1A-9D01-4994-A705-2A403AE4E8B9}" type="pres">
      <dgm:prSet presAssocID="{C67A1EB7-9DBB-428F-A3C8-30F52DC84B07}" presName="hierChild4" presStyleCnt="0"/>
      <dgm:spPr/>
    </dgm:pt>
    <dgm:pt modelId="{FC147B65-125A-459B-8BF8-C4CD1893164E}" type="pres">
      <dgm:prSet presAssocID="{C67A1EB7-9DBB-428F-A3C8-30F52DC84B07}" presName="hierChild5" presStyleCnt="0"/>
      <dgm:spPr/>
    </dgm:pt>
    <dgm:pt modelId="{DEE42FFC-822E-3442-92EF-30BCD5327804}" type="pres">
      <dgm:prSet presAssocID="{67052CCC-6479-104D-B179-C39F3ADA02B8}" presName="Name37" presStyleLbl="parChTrans1D3" presStyleIdx="2" presStyleCnt="16"/>
      <dgm:spPr/>
    </dgm:pt>
    <dgm:pt modelId="{624DD1AB-33F3-6B43-A832-65560BB8C9B0}" type="pres">
      <dgm:prSet presAssocID="{2A961098-EB48-1F44-8D2A-022E4A3D7D69}" presName="hierRoot2" presStyleCnt="0">
        <dgm:presLayoutVars>
          <dgm:hierBranch val="init"/>
        </dgm:presLayoutVars>
      </dgm:prSet>
      <dgm:spPr/>
    </dgm:pt>
    <dgm:pt modelId="{7556B030-B19E-2946-B38F-8125746A18BA}" type="pres">
      <dgm:prSet presAssocID="{2A961098-EB48-1F44-8D2A-022E4A3D7D69}" presName="rootComposite" presStyleCnt="0"/>
      <dgm:spPr/>
    </dgm:pt>
    <dgm:pt modelId="{B31B971D-17A9-9E4E-99E7-90E8DD2F00F5}" type="pres">
      <dgm:prSet presAssocID="{2A961098-EB48-1F44-8D2A-022E4A3D7D69}" presName="rootText" presStyleLbl="node3" presStyleIdx="2" presStyleCnt="16" custLinFactX="-4337" custLinFactY="-106406" custLinFactNeighborX="-100000" custLinFactNeighborY="-200000">
        <dgm:presLayoutVars>
          <dgm:chPref val="3"/>
        </dgm:presLayoutVars>
      </dgm:prSet>
      <dgm:spPr/>
    </dgm:pt>
    <dgm:pt modelId="{FDF017DA-EA0F-594F-880B-E94F512D6D3E}" type="pres">
      <dgm:prSet presAssocID="{2A961098-EB48-1F44-8D2A-022E4A3D7D69}" presName="rootConnector" presStyleLbl="node3" presStyleIdx="2" presStyleCnt="16"/>
      <dgm:spPr/>
    </dgm:pt>
    <dgm:pt modelId="{3C077209-4F0D-2146-A2D7-3BE7E6859562}" type="pres">
      <dgm:prSet presAssocID="{2A961098-EB48-1F44-8D2A-022E4A3D7D69}" presName="hierChild4" presStyleCnt="0"/>
      <dgm:spPr/>
    </dgm:pt>
    <dgm:pt modelId="{0CBB1AB1-ADC0-DA4B-8167-24B707B383A1}" type="pres">
      <dgm:prSet presAssocID="{2A961098-EB48-1F44-8D2A-022E4A3D7D69}" presName="hierChild5" presStyleCnt="0"/>
      <dgm:spPr/>
    </dgm:pt>
    <dgm:pt modelId="{13CF1539-2F8C-AB4C-8508-9DFAAD0FBFF8}" type="pres">
      <dgm:prSet presAssocID="{69F055B6-44D3-674E-B4E8-47078DC8FE97}" presName="Name37" presStyleLbl="parChTrans1D3" presStyleIdx="3" presStyleCnt="16"/>
      <dgm:spPr/>
    </dgm:pt>
    <dgm:pt modelId="{D8ECA23F-B461-D649-AF65-6F4ACBFFCE36}" type="pres">
      <dgm:prSet presAssocID="{1B85A6C6-54EF-DF4B-BF21-AE64ED708E50}" presName="hierRoot2" presStyleCnt="0">
        <dgm:presLayoutVars>
          <dgm:hierBranch val="init"/>
        </dgm:presLayoutVars>
      </dgm:prSet>
      <dgm:spPr/>
    </dgm:pt>
    <dgm:pt modelId="{D2A0F707-E05B-F248-83DD-8EF171028404}" type="pres">
      <dgm:prSet presAssocID="{1B85A6C6-54EF-DF4B-BF21-AE64ED708E50}" presName="rootComposite" presStyleCnt="0"/>
      <dgm:spPr/>
    </dgm:pt>
    <dgm:pt modelId="{61F43B20-553D-AF4A-8C89-61E935B220B5}" type="pres">
      <dgm:prSet presAssocID="{1B85A6C6-54EF-DF4B-BF21-AE64ED708E50}" presName="rootText" presStyleLbl="node3" presStyleIdx="3" presStyleCnt="16" custLinFactX="-1554" custLinFactNeighborX="-100000" custLinFactNeighborY="-54566">
        <dgm:presLayoutVars>
          <dgm:chPref val="3"/>
        </dgm:presLayoutVars>
      </dgm:prSet>
      <dgm:spPr/>
    </dgm:pt>
    <dgm:pt modelId="{6509CC11-8502-DC4F-B953-E5C41FC668B3}" type="pres">
      <dgm:prSet presAssocID="{1B85A6C6-54EF-DF4B-BF21-AE64ED708E50}" presName="rootConnector" presStyleLbl="node3" presStyleIdx="3" presStyleCnt="16"/>
      <dgm:spPr/>
    </dgm:pt>
    <dgm:pt modelId="{E74BD2C6-177D-F74F-8AB7-09D119CA6842}" type="pres">
      <dgm:prSet presAssocID="{1B85A6C6-54EF-DF4B-BF21-AE64ED708E50}" presName="hierChild4" presStyleCnt="0"/>
      <dgm:spPr/>
    </dgm:pt>
    <dgm:pt modelId="{9B862561-4DA2-0B44-8330-3C463BB00F19}" type="pres">
      <dgm:prSet presAssocID="{1B85A6C6-54EF-DF4B-BF21-AE64ED708E50}" presName="hierChild5" presStyleCnt="0"/>
      <dgm:spPr/>
    </dgm:pt>
    <dgm:pt modelId="{47A2461A-8265-824A-8152-3DAE0E300CAD}" type="pres">
      <dgm:prSet presAssocID="{09BA663C-7E95-7A45-9E53-7E01D46CDD02}" presName="Name37" presStyleLbl="parChTrans1D3" presStyleIdx="4" presStyleCnt="16"/>
      <dgm:spPr/>
    </dgm:pt>
    <dgm:pt modelId="{EF978A6C-624C-524E-8800-118C4CE24F3A}" type="pres">
      <dgm:prSet presAssocID="{3B040E46-0F24-7E4D-80FE-3E7429E373EC}" presName="hierRoot2" presStyleCnt="0">
        <dgm:presLayoutVars>
          <dgm:hierBranch val="init"/>
        </dgm:presLayoutVars>
      </dgm:prSet>
      <dgm:spPr/>
    </dgm:pt>
    <dgm:pt modelId="{09EA7C34-4FBC-024D-90FC-069B65271109}" type="pres">
      <dgm:prSet presAssocID="{3B040E46-0F24-7E4D-80FE-3E7429E373EC}" presName="rootComposite" presStyleCnt="0"/>
      <dgm:spPr/>
    </dgm:pt>
    <dgm:pt modelId="{B32DBBF2-52B3-7846-9A58-35895A8927A8}" type="pres">
      <dgm:prSet presAssocID="{3B040E46-0F24-7E4D-80FE-3E7429E373EC}" presName="rootText" presStyleLbl="node3" presStyleIdx="4" presStyleCnt="16" custLinFactX="-1554" custLinFactNeighborX="-100000" custLinFactNeighborY="-54566">
        <dgm:presLayoutVars>
          <dgm:chPref val="3"/>
        </dgm:presLayoutVars>
      </dgm:prSet>
      <dgm:spPr/>
    </dgm:pt>
    <dgm:pt modelId="{378504E3-4F07-4E46-9539-1F44746872F6}" type="pres">
      <dgm:prSet presAssocID="{3B040E46-0F24-7E4D-80FE-3E7429E373EC}" presName="rootConnector" presStyleLbl="node3" presStyleIdx="4" presStyleCnt="16"/>
      <dgm:spPr/>
    </dgm:pt>
    <dgm:pt modelId="{60DF4965-8CC6-0043-BB9C-615AAFD9C83C}" type="pres">
      <dgm:prSet presAssocID="{3B040E46-0F24-7E4D-80FE-3E7429E373EC}" presName="hierChild4" presStyleCnt="0"/>
      <dgm:spPr/>
    </dgm:pt>
    <dgm:pt modelId="{FC00F4C9-EAE6-FB44-BF21-4568CC099D75}" type="pres">
      <dgm:prSet presAssocID="{3B040E46-0F24-7E4D-80FE-3E7429E373EC}" presName="hierChild5" presStyleCnt="0"/>
      <dgm:spPr/>
    </dgm:pt>
    <dgm:pt modelId="{7289BE61-B3BD-F14F-8E98-42746FD3A5DD}" type="pres">
      <dgm:prSet presAssocID="{51279E38-ADFB-4344-B276-4CCF520AE3E2}" presName="Name37" presStyleLbl="parChTrans1D3" presStyleIdx="5" presStyleCnt="16"/>
      <dgm:spPr/>
    </dgm:pt>
    <dgm:pt modelId="{D2FDD744-92DE-774F-8586-71ADAD9F73AD}" type="pres">
      <dgm:prSet presAssocID="{DF69276E-7E15-104F-8599-55DFBBBDA39A}" presName="hierRoot2" presStyleCnt="0">
        <dgm:presLayoutVars>
          <dgm:hierBranch val="init"/>
        </dgm:presLayoutVars>
      </dgm:prSet>
      <dgm:spPr/>
    </dgm:pt>
    <dgm:pt modelId="{AF5127A6-79B6-204F-A747-372814FDCB50}" type="pres">
      <dgm:prSet presAssocID="{DF69276E-7E15-104F-8599-55DFBBBDA39A}" presName="rootComposite" presStyleCnt="0"/>
      <dgm:spPr/>
    </dgm:pt>
    <dgm:pt modelId="{0AB2843F-3672-1E4A-8F53-77F4E7760227}" type="pres">
      <dgm:prSet presAssocID="{DF69276E-7E15-104F-8599-55DFBBBDA39A}" presName="rootText" presStyleLbl="node3" presStyleIdx="5" presStyleCnt="16" custLinFactX="-1554" custLinFactNeighborX="-100000" custLinFactNeighborY="-54566">
        <dgm:presLayoutVars>
          <dgm:chPref val="3"/>
        </dgm:presLayoutVars>
      </dgm:prSet>
      <dgm:spPr/>
    </dgm:pt>
    <dgm:pt modelId="{0A7E62F7-D8BC-2F43-8D7B-BF08C90FE700}" type="pres">
      <dgm:prSet presAssocID="{DF69276E-7E15-104F-8599-55DFBBBDA39A}" presName="rootConnector" presStyleLbl="node3" presStyleIdx="5" presStyleCnt="16"/>
      <dgm:spPr/>
    </dgm:pt>
    <dgm:pt modelId="{857709F1-7289-6545-9C21-1BA53107DBC5}" type="pres">
      <dgm:prSet presAssocID="{DF69276E-7E15-104F-8599-55DFBBBDA39A}" presName="hierChild4" presStyleCnt="0"/>
      <dgm:spPr/>
    </dgm:pt>
    <dgm:pt modelId="{DB5F57C0-77C5-F444-9424-2A0278D16CB7}" type="pres">
      <dgm:prSet presAssocID="{DF69276E-7E15-104F-8599-55DFBBBDA39A}" presName="hierChild5" presStyleCnt="0"/>
      <dgm:spPr/>
    </dgm:pt>
    <dgm:pt modelId="{13B32C51-947C-834B-B6DA-32A1EA618618}" type="pres">
      <dgm:prSet presAssocID="{C93C532E-1366-D547-87D7-1AF8DAB480BE}" presName="Name37" presStyleLbl="parChTrans1D3" presStyleIdx="6" presStyleCnt="16"/>
      <dgm:spPr/>
    </dgm:pt>
    <dgm:pt modelId="{5EB3BBD0-27F0-0C46-8D1A-8C70B2D1DE66}" type="pres">
      <dgm:prSet presAssocID="{22F77AF8-4EF6-DE4B-8D4F-7BC90150E3AC}" presName="hierRoot2" presStyleCnt="0">
        <dgm:presLayoutVars>
          <dgm:hierBranch val="init"/>
        </dgm:presLayoutVars>
      </dgm:prSet>
      <dgm:spPr/>
    </dgm:pt>
    <dgm:pt modelId="{06777224-1AA3-DB45-A405-882761C21E40}" type="pres">
      <dgm:prSet presAssocID="{22F77AF8-4EF6-DE4B-8D4F-7BC90150E3AC}" presName="rootComposite" presStyleCnt="0"/>
      <dgm:spPr/>
    </dgm:pt>
    <dgm:pt modelId="{8F874AF9-5271-4548-82C0-6079FB7D327C}" type="pres">
      <dgm:prSet presAssocID="{22F77AF8-4EF6-DE4B-8D4F-7BC90150E3AC}" presName="rootText" presStyleLbl="node3" presStyleIdx="6" presStyleCnt="16" custLinFactX="-1554" custLinFactNeighborX="-100000" custLinFactNeighborY="-54566">
        <dgm:presLayoutVars>
          <dgm:chPref val="3"/>
        </dgm:presLayoutVars>
      </dgm:prSet>
      <dgm:spPr/>
    </dgm:pt>
    <dgm:pt modelId="{83FEF479-E584-B648-85C1-22FABC4CBC6F}" type="pres">
      <dgm:prSet presAssocID="{22F77AF8-4EF6-DE4B-8D4F-7BC90150E3AC}" presName="rootConnector" presStyleLbl="node3" presStyleIdx="6" presStyleCnt="16"/>
      <dgm:spPr/>
    </dgm:pt>
    <dgm:pt modelId="{6CA18610-FB64-8940-8BA8-FF6B5CD9ED12}" type="pres">
      <dgm:prSet presAssocID="{22F77AF8-4EF6-DE4B-8D4F-7BC90150E3AC}" presName="hierChild4" presStyleCnt="0"/>
      <dgm:spPr/>
    </dgm:pt>
    <dgm:pt modelId="{0DF5FF04-A7DE-7347-8135-CE6E249697E0}" type="pres">
      <dgm:prSet presAssocID="{22F77AF8-4EF6-DE4B-8D4F-7BC90150E3AC}" presName="hierChild5" presStyleCnt="0"/>
      <dgm:spPr/>
    </dgm:pt>
    <dgm:pt modelId="{E45C132A-4887-4443-A4AC-9E6D46E51F58}" type="pres">
      <dgm:prSet presAssocID="{0C65FD1B-7E59-BE40-8493-4B3B9FA1BDC0}" presName="Name37" presStyleLbl="parChTrans1D3" presStyleIdx="7" presStyleCnt="16"/>
      <dgm:spPr/>
    </dgm:pt>
    <dgm:pt modelId="{ACDAB970-CA24-AD41-A6D6-6DB14FBE11DA}" type="pres">
      <dgm:prSet presAssocID="{603457C1-56D5-A446-93E6-496100D0586B}" presName="hierRoot2" presStyleCnt="0">
        <dgm:presLayoutVars>
          <dgm:hierBranch val="init"/>
        </dgm:presLayoutVars>
      </dgm:prSet>
      <dgm:spPr/>
    </dgm:pt>
    <dgm:pt modelId="{20502F4B-58CD-4E49-8170-1A271ECA7205}" type="pres">
      <dgm:prSet presAssocID="{603457C1-56D5-A446-93E6-496100D0586B}" presName="rootComposite" presStyleCnt="0"/>
      <dgm:spPr/>
    </dgm:pt>
    <dgm:pt modelId="{4AEBF024-B1DB-3C4C-952E-4A19295FF657}" type="pres">
      <dgm:prSet presAssocID="{603457C1-56D5-A446-93E6-496100D0586B}" presName="rootText" presStyleLbl="node3" presStyleIdx="7" presStyleCnt="16" custLinFactNeighborX="-98871" custLinFactNeighborY="-30422">
        <dgm:presLayoutVars>
          <dgm:chPref val="3"/>
        </dgm:presLayoutVars>
      </dgm:prSet>
      <dgm:spPr/>
    </dgm:pt>
    <dgm:pt modelId="{950A15D2-E087-0242-93DD-3720A8C15C8C}" type="pres">
      <dgm:prSet presAssocID="{603457C1-56D5-A446-93E6-496100D0586B}" presName="rootConnector" presStyleLbl="node3" presStyleIdx="7" presStyleCnt="16"/>
      <dgm:spPr/>
    </dgm:pt>
    <dgm:pt modelId="{6160F533-1553-454D-81C6-9209FC9D5EA9}" type="pres">
      <dgm:prSet presAssocID="{603457C1-56D5-A446-93E6-496100D0586B}" presName="hierChild4" presStyleCnt="0"/>
      <dgm:spPr/>
    </dgm:pt>
    <dgm:pt modelId="{C4CC75CF-E493-E44E-9ED5-981823667257}" type="pres">
      <dgm:prSet presAssocID="{603457C1-56D5-A446-93E6-496100D0586B}" presName="hierChild5" presStyleCnt="0"/>
      <dgm:spPr/>
    </dgm:pt>
    <dgm:pt modelId="{C099313C-1079-4B20-A056-4181A8B437CC}" type="pres">
      <dgm:prSet presAssocID="{A115D1C8-F13A-419C-A753-9CB48DDA3CEA}" presName="hierChild5" presStyleCnt="0"/>
      <dgm:spPr/>
    </dgm:pt>
    <dgm:pt modelId="{CC17F672-5E04-48BF-AA11-D70CDBC16B2B}" type="pres">
      <dgm:prSet presAssocID="{93D6C48A-FFB3-426B-8018-DE777DDA4EB8}" presName="Name37" presStyleLbl="parChTrans1D2" presStyleIdx="1" presStyleCnt="6"/>
      <dgm:spPr/>
    </dgm:pt>
    <dgm:pt modelId="{2072CB3E-7D37-4D0D-9608-296CC463DD56}" type="pres">
      <dgm:prSet presAssocID="{03619001-6FF1-40A7-B0A0-3D39DD39E429}" presName="hierRoot2" presStyleCnt="0">
        <dgm:presLayoutVars>
          <dgm:hierBranch val="init"/>
        </dgm:presLayoutVars>
      </dgm:prSet>
      <dgm:spPr/>
    </dgm:pt>
    <dgm:pt modelId="{52DBC126-B955-4D5C-9D31-8086F51BDD70}" type="pres">
      <dgm:prSet presAssocID="{03619001-6FF1-40A7-B0A0-3D39DD39E429}" presName="rootComposite" presStyleCnt="0"/>
      <dgm:spPr/>
    </dgm:pt>
    <dgm:pt modelId="{1F130361-C562-4338-AA13-1BFAF21F89FB}" type="pres">
      <dgm:prSet presAssocID="{03619001-6FF1-40A7-B0A0-3D39DD39E429}" presName="rootText" presStyleLbl="node2" presStyleIdx="1" presStyleCnt="6" custScaleX="115346" custLinFactNeighborX="57449" custLinFactNeighborY="8618">
        <dgm:presLayoutVars>
          <dgm:chPref val="3"/>
        </dgm:presLayoutVars>
      </dgm:prSet>
      <dgm:spPr/>
    </dgm:pt>
    <dgm:pt modelId="{CBF8C2E8-E750-4D19-B5B1-0AE103067AF5}" type="pres">
      <dgm:prSet presAssocID="{03619001-6FF1-40A7-B0A0-3D39DD39E429}" presName="rootConnector" presStyleLbl="node2" presStyleIdx="1" presStyleCnt="6"/>
      <dgm:spPr/>
    </dgm:pt>
    <dgm:pt modelId="{999D8307-EE90-4B4E-A0A7-8C3A05F72BB0}" type="pres">
      <dgm:prSet presAssocID="{03619001-6FF1-40A7-B0A0-3D39DD39E429}" presName="hierChild4" presStyleCnt="0"/>
      <dgm:spPr/>
    </dgm:pt>
    <dgm:pt modelId="{1B6ABAB3-2433-D744-AA94-01ACA22D0DBC}" type="pres">
      <dgm:prSet presAssocID="{C917B961-4C73-524E-94AB-914C3CD69522}" presName="Name37" presStyleLbl="parChTrans1D3" presStyleIdx="8" presStyleCnt="16"/>
      <dgm:spPr/>
    </dgm:pt>
    <dgm:pt modelId="{1286413A-1AFB-5441-8FA6-B46DEC14347F}" type="pres">
      <dgm:prSet presAssocID="{6C1F77A9-3B73-524D-9EC6-5DAFBA611496}" presName="hierRoot2" presStyleCnt="0">
        <dgm:presLayoutVars>
          <dgm:hierBranch val="init"/>
        </dgm:presLayoutVars>
      </dgm:prSet>
      <dgm:spPr/>
    </dgm:pt>
    <dgm:pt modelId="{019E1554-98F7-9542-8D41-BAC6C91E6D9F}" type="pres">
      <dgm:prSet presAssocID="{6C1F77A9-3B73-524D-9EC6-5DAFBA611496}" presName="rootComposite" presStyleCnt="0"/>
      <dgm:spPr/>
    </dgm:pt>
    <dgm:pt modelId="{D1BC4318-905E-AC4E-B2B6-0ADFB83D395D}" type="pres">
      <dgm:prSet presAssocID="{6C1F77A9-3B73-524D-9EC6-5DAFBA611496}" presName="rootText" presStyleLbl="node3" presStyleIdx="8" presStyleCnt="16" custLinFactNeighborX="50039">
        <dgm:presLayoutVars>
          <dgm:chPref val="3"/>
        </dgm:presLayoutVars>
      </dgm:prSet>
      <dgm:spPr/>
    </dgm:pt>
    <dgm:pt modelId="{7B24ED59-5973-E64D-A78D-A3E3166F399B}" type="pres">
      <dgm:prSet presAssocID="{6C1F77A9-3B73-524D-9EC6-5DAFBA611496}" presName="rootConnector" presStyleLbl="node3" presStyleIdx="8" presStyleCnt="16"/>
      <dgm:spPr/>
    </dgm:pt>
    <dgm:pt modelId="{34238941-07E9-0942-B60C-12D8C02A68A1}" type="pres">
      <dgm:prSet presAssocID="{6C1F77A9-3B73-524D-9EC6-5DAFBA611496}" presName="hierChild4" presStyleCnt="0"/>
      <dgm:spPr/>
    </dgm:pt>
    <dgm:pt modelId="{CB70287F-6817-514D-8FFC-0C9AC8C8D88B}" type="pres">
      <dgm:prSet presAssocID="{6C1F77A9-3B73-524D-9EC6-5DAFBA611496}" presName="hierChild5" presStyleCnt="0"/>
      <dgm:spPr/>
    </dgm:pt>
    <dgm:pt modelId="{67B65A7B-2D16-C34F-9120-0F0A5E2B93A4}" type="pres">
      <dgm:prSet presAssocID="{E324F19D-05C3-2C49-BBA8-B13AD96AAB44}" presName="Name37" presStyleLbl="parChTrans1D3" presStyleIdx="9" presStyleCnt="16"/>
      <dgm:spPr/>
    </dgm:pt>
    <dgm:pt modelId="{63C6748B-3791-C644-BF8E-544907CC6DBE}" type="pres">
      <dgm:prSet presAssocID="{EFAE24B2-8991-984E-B919-EF7041490E9A}" presName="hierRoot2" presStyleCnt="0">
        <dgm:presLayoutVars>
          <dgm:hierBranch val="init"/>
        </dgm:presLayoutVars>
      </dgm:prSet>
      <dgm:spPr/>
    </dgm:pt>
    <dgm:pt modelId="{0BF63BAA-6F15-1E40-9803-2F1598FF85FA}" type="pres">
      <dgm:prSet presAssocID="{EFAE24B2-8991-984E-B919-EF7041490E9A}" presName="rootComposite" presStyleCnt="0"/>
      <dgm:spPr/>
    </dgm:pt>
    <dgm:pt modelId="{7D069778-6578-DA4C-884E-8B054A8829A9}" type="pres">
      <dgm:prSet presAssocID="{EFAE24B2-8991-984E-B919-EF7041490E9A}" presName="rootText" presStyleLbl="node3" presStyleIdx="9" presStyleCnt="16" custLinFactNeighborX="53119">
        <dgm:presLayoutVars>
          <dgm:chPref val="3"/>
        </dgm:presLayoutVars>
      </dgm:prSet>
      <dgm:spPr/>
    </dgm:pt>
    <dgm:pt modelId="{6FC7C6F0-69D2-8B43-9202-FEBC427796E7}" type="pres">
      <dgm:prSet presAssocID="{EFAE24B2-8991-984E-B919-EF7041490E9A}" presName="rootConnector" presStyleLbl="node3" presStyleIdx="9" presStyleCnt="16"/>
      <dgm:spPr/>
    </dgm:pt>
    <dgm:pt modelId="{FEF06C20-65EF-B64B-9642-69305967CE09}" type="pres">
      <dgm:prSet presAssocID="{EFAE24B2-8991-984E-B919-EF7041490E9A}" presName="hierChild4" presStyleCnt="0"/>
      <dgm:spPr/>
    </dgm:pt>
    <dgm:pt modelId="{CAEE2C52-65E1-2B4A-B7F9-092102388284}" type="pres">
      <dgm:prSet presAssocID="{EFAE24B2-8991-984E-B919-EF7041490E9A}" presName="hierChild5" presStyleCnt="0"/>
      <dgm:spPr/>
    </dgm:pt>
    <dgm:pt modelId="{87E1F72E-DC7E-E34A-ACDF-263ABEF71440}" type="pres">
      <dgm:prSet presAssocID="{E60CA3EE-F754-0F47-94E8-76E159FE4EB9}" presName="Name37" presStyleLbl="parChTrans1D3" presStyleIdx="10" presStyleCnt="16"/>
      <dgm:spPr/>
    </dgm:pt>
    <dgm:pt modelId="{69BD9727-9009-004A-967D-F3328FF6EC6B}" type="pres">
      <dgm:prSet presAssocID="{EE58DEFF-99C9-864F-9F8F-3AF390CF57F1}" presName="hierRoot2" presStyleCnt="0">
        <dgm:presLayoutVars>
          <dgm:hierBranch val="init"/>
        </dgm:presLayoutVars>
      </dgm:prSet>
      <dgm:spPr/>
    </dgm:pt>
    <dgm:pt modelId="{2A0E825E-DAB1-2F40-89DD-BCEE6C572857}" type="pres">
      <dgm:prSet presAssocID="{EE58DEFF-99C9-864F-9F8F-3AF390CF57F1}" presName="rootComposite" presStyleCnt="0"/>
      <dgm:spPr/>
    </dgm:pt>
    <dgm:pt modelId="{F1BA0469-C817-3F46-9D4F-0EEBF27F2224}" type="pres">
      <dgm:prSet presAssocID="{EE58DEFF-99C9-864F-9F8F-3AF390CF57F1}" presName="rootText" presStyleLbl="node3" presStyleIdx="10" presStyleCnt="16" custLinFactNeighborX="53888" custLinFactNeighborY="-3079">
        <dgm:presLayoutVars>
          <dgm:chPref val="3"/>
        </dgm:presLayoutVars>
      </dgm:prSet>
      <dgm:spPr/>
    </dgm:pt>
    <dgm:pt modelId="{8B669FC3-AEB7-B744-ABB1-E2EB1C3228B0}" type="pres">
      <dgm:prSet presAssocID="{EE58DEFF-99C9-864F-9F8F-3AF390CF57F1}" presName="rootConnector" presStyleLbl="node3" presStyleIdx="10" presStyleCnt="16"/>
      <dgm:spPr/>
    </dgm:pt>
    <dgm:pt modelId="{AA279929-9222-AC45-BACF-1A1B69632285}" type="pres">
      <dgm:prSet presAssocID="{EE58DEFF-99C9-864F-9F8F-3AF390CF57F1}" presName="hierChild4" presStyleCnt="0"/>
      <dgm:spPr/>
    </dgm:pt>
    <dgm:pt modelId="{2FDCFC15-E8B3-704A-8EFF-3B8D707CCD9E}" type="pres">
      <dgm:prSet presAssocID="{EE58DEFF-99C9-864F-9F8F-3AF390CF57F1}" presName="hierChild5" presStyleCnt="0"/>
      <dgm:spPr/>
    </dgm:pt>
    <dgm:pt modelId="{F826941E-6AAF-48C1-8F73-8E1C839C3370}" type="pres">
      <dgm:prSet presAssocID="{03619001-6FF1-40A7-B0A0-3D39DD39E429}" presName="hierChild5" presStyleCnt="0"/>
      <dgm:spPr/>
    </dgm:pt>
    <dgm:pt modelId="{D5626411-E192-4774-A1DA-2FEDEE423372}" type="pres">
      <dgm:prSet presAssocID="{7B4147F8-7A61-4BC7-A88F-00D7653016AB}" presName="Name37" presStyleLbl="parChTrans1D2" presStyleIdx="2" presStyleCnt="6"/>
      <dgm:spPr/>
    </dgm:pt>
    <dgm:pt modelId="{F33F62BB-981E-4802-AAFC-67DBB5A847CF}" type="pres">
      <dgm:prSet presAssocID="{CE28276D-DDE3-46EB-888E-3FAF59EEB750}" presName="hierRoot2" presStyleCnt="0">
        <dgm:presLayoutVars>
          <dgm:hierBranch val="init"/>
        </dgm:presLayoutVars>
      </dgm:prSet>
      <dgm:spPr/>
    </dgm:pt>
    <dgm:pt modelId="{06332F5E-18FF-496D-8ABA-191C9F80B223}" type="pres">
      <dgm:prSet presAssocID="{CE28276D-DDE3-46EB-888E-3FAF59EEB750}" presName="rootComposite" presStyleCnt="0"/>
      <dgm:spPr/>
    </dgm:pt>
    <dgm:pt modelId="{F3E2C4B2-C746-40D9-A9D6-AC7E41CF72A8}" type="pres">
      <dgm:prSet presAssocID="{CE28276D-DDE3-46EB-888E-3FAF59EEB750}" presName="rootText" presStyleLbl="node2" presStyleIdx="2" presStyleCnt="6" custScaleX="67550" custLinFactNeighborX="99818" custLinFactNeighborY="10053">
        <dgm:presLayoutVars>
          <dgm:chPref val="3"/>
        </dgm:presLayoutVars>
      </dgm:prSet>
      <dgm:spPr/>
    </dgm:pt>
    <dgm:pt modelId="{DEEC3C2D-5A3B-4869-A53A-17C7C3272BEB}" type="pres">
      <dgm:prSet presAssocID="{CE28276D-DDE3-46EB-888E-3FAF59EEB750}" presName="rootConnector" presStyleLbl="node2" presStyleIdx="2" presStyleCnt="6"/>
      <dgm:spPr/>
    </dgm:pt>
    <dgm:pt modelId="{B401EABF-310B-4F6F-A102-C017062A2E03}" type="pres">
      <dgm:prSet presAssocID="{CE28276D-DDE3-46EB-888E-3FAF59EEB750}" presName="hierChild4" presStyleCnt="0"/>
      <dgm:spPr/>
    </dgm:pt>
    <dgm:pt modelId="{B05517A1-728E-E043-92FC-303D08ADB907}" type="pres">
      <dgm:prSet presAssocID="{C89E6E92-9E05-CD4E-A5ED-EAFB6FE5BB93}" presName="Name37" presStyleLbl="parChTrans1D3" presStyleIdx="11" presStyleCnt="16"/>
      <dgm:spPr/>
    </dgm:pt>
    <dgm:pt modelId="{F23A50C4-FAD0-E14E-834F-092A03EA20EA}" type="pres">
      <dgm:prSet presAssocID="{2AF16CBB-E6C9-2447-A8B7-C50DF309B7D9}" presName="hierRoot2" presStyleCnt="0">
        <dgm:presLayoutVars>
          <dgm:hierBranch val="init"/>
        </dgm:presLayoutVars>
      </dgm:prSet>
      <dgm:spPr/>
    </dgm:pt>
    <dgm:pt modelId="{CEA8D323-2864-F148-B831-41C05DD84E38}" type="pres">
      <dgm:prSet presAssocID="{2AF16CBB-E6C9-2447-A8B7-C50DF309B7D9}" presName="rootComposite" presStyleCnt="0"/>
      <dgm:spPr/>
    </dgm:pt>
    <dgm:pt modelId="{E52D6E3D-849F-6B46-B551-5EBBF81FC80F}" type="pres">
      <dgm:prSet presAssocID="{2AF16CBB-E6C9-2447-A8B7-C50DF309B7D9}" presName="rootText" presStyleLbl="node3" presStyleIdx="11" presStyleCnt="16" custLinFactNeighborX="98968" custLinFactNeighborY="4981">
        <dgm:presLayoutVars>
          <dgm:chPref val="3"/>
        </dgm:presLayoutVars>
      </dgm:prSet>
      <dgm:spPr/>
    </dgm:pt>
    <dgm:pt modelId="{EC59D19B-7C2D-6944-8320-524E9CDA67E1}" type="pres">
      <dgm:prSet presAssocID="{2AF16CBB-E6C9-2447-A8B7-C50DF309B7D9}" presName="rootConnector" presStyleLbl="node3" presStyleIdx="11" presStyleCnt="16"/>
      <dgm:spPr/>
    </dgm:pt>
    <dgm:pt modelId="{8A402B0C-70BA-2C4E-B401-4D47C787AB1F}" type="pres">
      <dgm:prSet presAssocID="{2AF16CBB-E6C9-2447-A8B7-C50DF309B7D9}" presName="hierChild4" presStyleCnt="0"/>
      <dgm:spPr/>
    </dgm:pt>
    <dgm:pt modelId="{C07280F3-0A3F-844C-9250-84C1AACCCD56}" type="pres">
      <dgm:prSet presAssocID="{2AF16CBB-E6C9-2447-A8B7-C50DF309B7D9}" presName="hierChild5" presStyleCnt="0"/>
      <dgm:spPr/>
    </dgm:pt>
    <dgm:pt modelId="{AF5715AC-23EB-784C-A9E7-1C318CA8E2E0}" type="pres">
      <dgm:prSet presAssocID="{095C8E63-821E-C64B-9F9A-24EDAF3BB747}" presName="Name37" presStyleLbl="parChTrans1D3" presStyleIdx="12" presStyleCnt="16"/>
      <dgm:spPr/>
    </dgm:pt>
    <dgm:pt modelId="{78042D58-2304-954A-B666-1EE493E09BA8}" type="pres">
      <dgm:prSet presAssocID="{84FEEDB2-F486-284F-BB2B-B5D5BDAA73B7}" presName="hierRoot2" presStyleCnt="0">
        <dgm:presLayoutVars>
          <dgm:hierBranch val="init"/>
        </dgm:presLayoutVars>
      </dgm:prSet>
      <dgm:spPr/>
    </dgm:pt>
    <dgm:pt modelId="{715E0C7D-5D1D-1442-94CD-BF654EBE11AF}" type="pres">
      <dgm:prSet presAssocID="{84FEEDB2-F486-284F-BB2B-B5D5BDAA73B7}" presName="rootComposite" presStyleCnt="0"/>
      <dgm:spPr/>
    </dgm:pt>
    <dgm:pt modelId="{3A4A794C-E568-AD4B-8596-BC5FC7E88D69}" type="pres">
      <dgm:prSet presAssocID="{84FEEDB2-F486-284F-BB2B-B5D5BDAA73B7}" presName="rootText" presStyleLbl="node3" presStyleIdx="12" presStyleCnt="16" custLinFactX="245" custLinFactNeighborX="100000" custLinFactNeighborY="-22348">
        <dgm:presLayoutVars>
          <dgm:chPref val="3"/>
        </dgm:presLayoutVars>
      </dgm:prSet>
      <dgm:spPr/>
    </dgm:pt>
    <dgm:pt modelId="{B476F93F-479B-E444-8D24-A8893BCF63BF}" type="pres">
      <dgm:prSet presAssocID="{84FEEDB2-F486-284F-BB2B-B5D5BDAA73B7}" presName="rootConnector" presStyleLbl="node3" presStyleIdx="12" presStyleCnt="16"/>
      <dgm:spPr/>
    </dgm:pt>
    <dgm:pt modelId="{E9EE88A9-FC3E-494E-A977-FDC17BCE41F6}" type="pres">
      <dgm:prSet presAssocID="{84FEEDB2-F486-284F-BB2B-B5D5BDAA73B7}" presName="hierChild4" presStyleCnt="0"/>
      <dgm:spPr/>
    </dgm:pt>
    <dgm:pt modelId="{A699E2C7-57B9-584B-AD91-6370F7011DCA}" type="pres">
      <dgm:prSet presAssocID="{84FEEDB2-F486-284F-BB2B-B5D5BDAA73B7}" presName="hierChild5" presStyleCnt="0"/>
      <dgm:spPr/>
    </dgm:pt>
    <dgm:pt modelId="{5D40542B-50B3-2141-BC97-74A112143A32}" type="pres">
      <dgm:prSet presAssocID="{316736A1-2974-774F-83F3-2DC568B12A9F}" presName="Name37" presStyleLbl="parChTrans1D3" presStyleIdx="13" presStyleCnt="16"/>
      <dgm:spPr/>
    </dgm:pt>
    <dgm:pt modelId="{730CEEF0-7DE5-904A-AF03-73BA552241F1}" type="pres">
      <dgm:prSet presAssocID="{B6033CCE-D4C9-694F-9433-4B6A3D5AC6C2}" presName="hierRoot2" presStyleCnt="0">
        <dgm:presLayoutVars>
          <dgm:hierBranch val="init"/>
        </dgm:presLayoutVars>
      </dgm:prSet>
      <dgm:spPr/>
    </dgm:pt>
    <dgm:pt modelId="{87FF3FBD-64E4-EB48-8CDC-0E50B211FEE5}" type="pres">
      <dgm:prSet presAssocID="{B6033CCE-D4C9-694F-9433-4B6A3D5AC6C2}" presName="rootComposite" presStyleCnt="0"/>
      <dgm:spPr/>
    </dgm:pt>
    <dgm:pt modelId="{8D6DFEA6-B5C8-7A4C-8CDE-65EE3F99830F}" type="pres">
      <dgm:prSet presAssocID="{B6033CCE-D4C9-694F-9433-4B6A3D5AC6C2}" presName="rootText" presStyleLbl="node3" presStyleIdx="13" presStyleCnt="16" custLinFactX="270" custLinFactNeighborX="100000" custLinFactNeighborY="-43429">
        <dgm:presLayoutVars>
          <dgm:chPref val="3"/>
        </dgm:presLayoutVars>
      </dgm:prSet>
      <dgm:spPr/>
    </dgm:pt>
    <dgm:pt modelId="{27882F9C-9FF1-BC41-8AB3-E3FDCE6F9B64}" type="pres">
      <dgm:prSet presAssocID="{B6033CCE-D4C9-694F-9433-4B6A3D5AC6C2}" presName="rootConnector" presStyleLbl="node3" presStyleIdx="13" presStyleCnt="16"/>
      <dgm:spPr/>
    </dgm:pt>
    <dgm:pt modelId="{952E0C67-CF9A-9040-8A61-CA14F57A0493}" type="pres">
      <dgm:prSet presAssocID="{B6033CCE-D4C9-694F-9433-4B6A3D5AC6C2}" presName="hierChild4" presStyleCnt="0"/>
      <dgm:spPr/>
    </dgm:pt>
    <dgm:pt modelId="{E3AD572C-EC6A-0842-9180-8095876AF2AA}" type="pres">
      <dgm:prSet presAssocID="{B6033CCE-D4C9-694F-9433-4B6A3D5AC6C2}" presName="hierChild5" presStyleCnt="0"/>
      <dgm:spPr/>
    </dgm:pt>
    <dgm:pt modelId="{ABEF3F17-5DEF-4B04-AF3C-0A47636C1229}" type="pres">
      <dgm:prSet presAssocID="{CE28276D-DDE3-46EB-888E-3FAF59EEB750}" presName="hierChild5" presStyleCnt="0"/>
      <dgm:spPr/>
    </dgm:pt>
    <dgm:pt modelId="{8E6E189D-394C-A541-9D57-75605C4D2C0A}" type="pres">
      <dgm:prSet presAssocID="{3F766F1E-DD46-304B-BCEC-928C93987C6C}" presName="Name37" presStyleLbl="parChTrans1D2" presStyleIdx="3" presStyleCnt="6"/>
      <dgm:spPr/>
    </dgm:pt>
    <dgm:pt modelId="{6309049D-8B1B-8B4F-B741-4DE400DF5488}" type="pres">
      <dgm:prSet presAssocID="{73473BFD-28C7-4844-9584-9A6EBBFC3D79}" presName="hierRoot2" presStyleCnt="0">
        <dgm:presLayoutVars>
          <dgm:hierBranch val="init"/>
        </dgm:presLayoutVars>
      </dgm:prSet>
      <dgm:spPr/>
    </dgm:pt>
    <dgm:pt modelId="{F1883388-252F-AA4D-84E0-9060A0F6DD99}" type="pres">
      <dgm:prSet presAssocID="{73473BFD-28C7-4844-9584-9A6EBBFC3D79}" presName="rootComposite" presStyleCnt="0"/>
      <dgm:spPr/>
    </dgm:pt>
    <dgm:pt modelId="{BCA5D11B-BF5B-2D46-A7AE-77149142F02C}" type="pres">
      <dgm:prSet presAssocID="{73473BFD-28C7-4844-9584-9A6EBBFC3D79}" presName="rootText" presStyleLbl="node2" presStyleIdx="3" presStyleCnt="6" custLinFactX="49542" custLinFactNeighborX="100000" custLinFactNeighborY="12387">
        <dgm:presLayoutVars>
          <dgm:chPref val="3"/>
        </dgm:presLayoutVars>
      </dgm:prSet>
      <dgm:spPr/>
    </dgm:pt>
    <dgm:pt modelId="{F289B5D3-A987-0C4D-A760-B58A210A6BFE}" type="pres">
      <dgm:prSet presAssocID="{73473BFD-28C7-4844-9584-9A6EBBFC3D79}" presName="rootConnector" presStyleLbl="node2" presStyleIdx="3" presStyleCnt="6"/>
      <dgm:spPr/>
    </dgm:pt>
    <dgm:pt modelId="{0CFB7698-4F43-3447-8BAD-B72DA0FDB978}" type="pres">
      <dgm:prSet presAssocID="{73473BFD-28C7-4844-9584-9A6EBBFC3D79}" presName="hierChild4" presStyleCnt="0"/>
      <dgm:spPr/>
    </dgm:pt>
    <dgm:pt modelId="{0B8CC09B-2B5F-DF4F-B90C-904972B7B030}" type="pres">
      <dgm:prSet presAssocID="{73473BFD-28C7-4844-9584-9A6EBBFC3D79}" presName="hierChild5" presStyleCnt="0"/>
      <dgm:spPr/>
    </dgm:pt>
    <dgm:pt modelId="{C752CAAC-7B51-DC4D-8A84-6472FB0B2B18}" type="pres">
      <dgm:prSet presAssocID="{FE049FB3-2F8B-1842-ADB3-B82609822389}" presName="Name37" presStyleLbl="parChTrans1D2" presStyleIdx="4" presStyleCnt="6"/>
      <dgm:spPr/>
    </dgm:pt>
    <dgm:pt modelId="{DA7EF269-A4D4-6841-9C9C-BE3EA41E7226}" type="pres">
      <dgm:prSet presAssocID="{FA3E2F2F-7E82-E24B-82FC-B6BDAE7AA4A2}" presName="hierRoot2" presStyleCnt="0">
        <dgm:presLayoutVars>
          <dgm:hierBranch val="init"/>
        </dgm:presLayoutVars>
      </dgm:prSet>
      <dgm:spPr/>
    </dgm:pt>
    <dgm:pt modelId="{68256E86-3634-5646-8A74-B959A7F94B4A}" type="pres">
      <dgm:prSet presAssocID="{FA3E2F2F-7E82-E24B-82FC-B6BDAE7AA4A2}" presName="rootComposite" presStyleCnt="0"/>
      <dgm:spPr/>
    </dgm:pt>
    <dgm:pt modelId="{91F0D91F-6812-C64A-95D2-BD5C91A29C98}" type="pres">
      <dgm:prSet presAssocID="{FA3E2F2F-7E82-E24B-82FC-B6BDAE7AA4A2}" presName="rootText" presStyleLbl="node2" presStyleIdx="4" presStyleCnt="6" custLinFactX="60908" custLinFactNeighborX="100000" custLinFactNeighborY="17160">
        <dgm:presLayoutVars>
          <dgm:chPref val="3"/>
        </dgm:presLayoutVars>
      </dgm:prSet>
      <dgm:spPr/>
    </dgm:pt>
    <dgm:pt modelId="{80A1EC55-CE5B-3643-9B7D-C014EAE29C1C}" type="pres">
      <dgm:prSet presAssocID="{FA3E2F2F-7E82-E24B-82FC-B6BDAE7AA4A2}" presName="rootConnector" presStyleLbl="node2" presStyleIdx="4" presStyleCnt="6"/>
      <dgm:spPr/>
    </dgm:pt>
    <dgm:pt modelId="{2101A5F3-F4FF-6A41-8038-619E015496B0}" type="pres">
      <dgm:prSet presAssocID="{FA3E2F2F-7E82-E24B-82FC-B6BDAE7AA4A2}" presName="hierChild4" presStyleCnt="0"/>
      <dgm:spPr/>
    </dgm:pt>
    <dgm:pt modelId="{216EEC05-BC80-7C4A-AB0C-DA3F7735BC84}" type="pres">
      <dgm:prSet presAssocID="{FA3E2F2F-7E82-E24B-82FC-B6BDAE7AA4A2}" presName="hierChild5" presStyleCnt="0"/>
      <dgm:spPr/>
    </dgm:pt>
    <dgm:pt modelId="{8B4D22E7-0232-7F4A-A8DC-2DA7BE11A9DF}" type="pres">
      <dgm:prSet presAssocID="{79C043E8-1F58-4B4B-A29D-6EE2BAA5C255}" presName="Name37" presStyleLbl="parChTrans1D2" presStyleIdx="5" presStyleCnt="6"/>
      <dgm:spPr/>
    </dgm:pt>
    <dgm:pt modelId="{E8F0C866-6C63-684B-9ED8-6AD212B71FFB}" type="pres">
      <dgm:prSet presAssocID="{B8A63D67-F3C9-8E41-B6AE-5E831AF408DA}" presName="hierRoot2" presStyleCnt="0">
        <dgm:presLayoutVars>
          <dgm:hierBranch val="init"/>
        </dgm:presLayoutVars>
      </dgm:prSet>
      <dgm:spPr/>
    </dgm:pt>
    <dgm:pt modelId="{0CA3D03D-2BCF-1F4E-8D69-EC7C6AD9C8B4}" type="pres">
      <dgm:prSet presAssocID="{B8A63D67-F3C9-8E41-B6AE-5E831AF408DA}" presName="rootComposite" presStyleCnt="0"/>
      <dgm:spPr/>
    </dgm:pt>
    <dgm:pt modelId="{24B2395B-EA0C-8C45-9D2E-C0E0300F269F}" type="pres">
      <dgm:prSet presAssocID="{B8A63D67-F3C9-8E41-B6AE-5E831AF408DA}" presName="rootText" presStyleLbl="node2" presStyleIdx="5" presStyleCnt="6" custLinFactX="58639" custLinFactNeighborX="100000" custLinFactNeighborY="14891">
        <dgm:presLayoutVars>
          <dgm:chPref val="3"/>
        </dgm:presLayoutVars>
      </dgm:prSet>
      <dgm:spPr/>
    </dgm:pt>
    <dgm:pt modelId="{3366A7D9-92E0-7948-A6C2-5BFF2B2397B6}" type="pres">
      <dgm:prSet presAssocID="{B8A63D67-F3C9-8E41-B6AE-5E831AF408DA}" presName="rootConnector" presStyleLbl="node2" presStyleIdx="5" presStyleCnt="6"/>
      <dgm:spPr/>
    </dgm:pt>
    <dgm:pt modelId="{C206A0A1-B67E-3E44-B346-7B0E14476B6B}" type="pres">
      <dgm:prSet presAssocID="{B8A63D67-F3C9-8E41-B6AE-5E831AF408DA}" presName="hierChild4" presStyleCnt="0"/>
      <dgm:spPr/>
    </dgm:pt>
    <dgm:pt modelId="{C7CF70CD-8904-FA43-B2FD-ABAB9A8562BA}" type="pres">
      <dgm:prSet presAssocID="{450D8A5D-67B7-3C48-8169-C171E9187620}" presName="Name37" presStyleLbl="parChTrans1D3" presStyleIdx="14" presStyleCnt="16"/>
      <dgm:spPr/>
    </dgm:pt>
    <dgm:pt modelId="{7C1F1E53-6860-184F-8044-EA070F1F3C80}" type="pres">
      <dgm:prSet presAssocID="{C168EA07-4CD4-424E-B162-C80A06057EF7}" presName="hierRoot2" presStyleCnt="0">
        <dgm:presLayoutVars>
          <dgm:hierBranch val="init"/>
        </dgm:presLayoutVars>
      </dgm:prSet>
      <dgm:spPr/>
    </dgm:pt>
    <dgm:pt modelId="{55F84C0F-775E-7741-A85F-51EF401C96C9}" type="pres">
      <dgm:prSet presAssocID="{C168EA07-4CD4-424E-B162-C80A06057EF7}" presName="rootComposite" presStyleCnt="0"/>
      <dgm:spPr/>
    </dgm:pt>
    <dgm:pt modelId="{929C6310-CA0C-9146-8824-EF59C5169D50}" type="pres">
      <dgm:prSet presAssocID="{C168EA07-4CD4-424E-B162-C80A06057EF7}" presName="rootText" presStyleLbl="node3" presStyleIdx="14" presStyleCnt="16" custLinFactX="66772" custLinFactNeighborX="100000" custLinFactNeighborY="6656">
        <dgm:presLayoutVars>
          <dgm:chPref val="3"/>
        </dgm:presLayoutVars>
      </dgm:prSet>
      <dgm:spPr/>
    </dgm:pt>
    <dgm:pt modelId="{5849B928-ABE8-3C4C-93DB-ED185C0B15B2}" type="pres">
      <dgm:prSet presAssocID="{C168EA07-4CD4-424E-B162-C80A06057EF7}" presName="rootConnector" presStyleLbl="node3" presStyleIdx="14" presStyleCnt="16"/>
      <dgm:spPr/>
    </dgm:pt>
    <dgm:pt modelId="{6CDE8261-0253-4748-B9EB-A4F49EBF9C6C}" type="pres">
      <dgm:prSet presAssocID="{C168EA07-4CD4-424E-B162-C80A06057EF7}" presName="hierChild4" presStyleCnt="0"/>
      <dgm:spPr/>
    </dgm:pt>
    <dgm:pt modelId="{FC10C71C-E063-044C-AF29-8789E728F595}" type="pres">
      <dgm:prSet presAssocID="{C168EA07-4CD4-424E-B162-C80A06057EF7}" presName="hierChild5" presStyleCnt="0"/>
      <dgm:spPr/>
    </dgm:pt>
    <dgm:pt modelId="{4E0B7D25-F8E9-A148-A369-B8658911486D}" type="pres">
      <dgm:prSet presAssocID="{15D051A4-D174-B847-8196-85F6C2611588}" presName="Name37" presStyleLbl="parChTrans1D3" presStyleIdx="15" presStyleCnt="16"/>
      <dgm:spPr/>
    </dgm:pt>
    <dgm:pt modelId="{9027DB7C-5175-B941-BA70-3B81DFDD034C}" type="pres">
      <dgm:prSet presAssocID="{959DC754-6DD2-374A-8263-24E4AFD8EA5B}" presName="hierRoot2" presStyleCnt="0">
        <dgm:presLayoutVars>
          <dgm:hierBranch val="init"/>
        </dgm:presLayoutVars>
      </dgm:prSet>
      <dgm:spPr/>
    </dgm:pt>
    <dgm:pt modelId="{F6A1C083-3088-2D49-8E0C-E35147E26C29}" type="pres">
      <dgm:prSet presAssocID="{959DC754-6DD2-374A-8263-24E4AFD8EA5B}" presName="rootComposite" presStyleCnt="0"/>
      <dgm:spPr/>
    </dgm:pt>
    <dgm:pt modelId="{AF7A921C-54EE-6540-B013-8B6D78282F80}" type="pres">
      <dgm:prSet presAssocID="{959DC754-6DD2-374A-8263-24E4AFD8EA5B}" presName="rootText" presStyleLbl="node3" presStyleIdx="15" presStyleCnt="16" custLinFactX="67450" custLinFactNeighborX="100000" custLinFactNeighborY="-6023">
        <dgm:presLayoutVars>
          <dgm:chPref val="3"/>
        </dgm:presLayoutVars>
      </dgm:prSet>
      <dgm:spPr/>
    </dgm:pt>
    <dgm:pt modelId="{6A856006-6A65-C34E-8D3D-BE74280493F4}" type="pres">
      <dgm:prSet presAssocID="{959DC754-6DD2-374A-8263-24E4AFD8EA5B}" presName="rootConnector" presStyleLbl="node3" presStyleIdx="15" presStyleCnt="16"/>
      <dgm:spPr/>
    </dgm:pt>
    <dgm:pt modelId="{BA7DFA75-EC82-844E-9E5D-C8AD61DB5B42}" type="pres">
      <dgm:prSet presAssocID="{959DC754-6DD2-374A-8263-24E4AFD8EA5B}" presName="hierChild4" presStyleCnt="0"/>
      <dgm:spPr/>
    </dgm:pt>
    <dgm:pt modelId="{C5E8D38C-38FF-3A4B-80FE-732871D376F1}" type="pres">
      <dgm:prSet presAssocID="{959DC754-6DD2-374A-8263-24E4AFD8EA5B}" presName="hierChild5" presStyleCnt="0"/>
      <dgm:spPr/>
    </dgm:pt>
    <dgm:pt modelId="{9A0C5148-E29B-334A-ACE1-9FA75084B3EB}" type="pres">
      <dgm:prSet presAssocID="{B8A63D67-F3C9-8E41-B6AE-5E831AF408DA}" presName="hierChild5" presStyleCnt="0"/>
      <dgm:spPr/>
    </dgm:pt>
    <dgm:pt modelId="{35E7B6BA-6A42-45A7-B318-A3120417B00E}" type="pres">
      <dgm:prSet presAssocID="{4534AE86-1A47-4ACF-9FC1-5E0E70230C71}" presName="hierChild3" presStyleCnt="0"/>
      <dgm:spPr/>
    </dgm:pt>
  </dgm:ptLst>
  <dgm:cxnLst>
    <dgm:cxn modelId="{ADC4F603-BD31-7B41-9B11-0B4B7F2F1557}" type="presOf" srcId="{603457C1-56D5-A446-93E6-496100D0586B}" destId="{950A15D2-E087-0242-93DD-3720A8C15C8C}" srcOrd="1" destOrd="0" presId="urn:microsoft.com/office/officeart/2005/8/layout/orgChart1"/>
    <dgm:cxn modelId="{BE416605-8D74-4761-A69D-ACF6F07568E4}" type="presOf" srcId="{03619001-6FF1-40A7-B0A0-3D39DD39E429}" destId="{CBF8C2E8-E750-4D19-B5B1-0AE103067AF5}" srcOrd="1" destOrd="0" presId="urn:microsoft.com/office/officeart/2005/8/layout/orgChart1"/>
    <dgm:cxn modelId="{0FE86507-1A61-9844-A066-363195DDA2B3}" srcId="{4534AE86-1A47-4ACF-9FC1-5E0E70230C71}" destId="{73473BFD-28C7-4844-9584-9A6EBBFC3D79}" srcOrd="3" destOrd="0" parTransId="{3F766F1E-DD46-304B-BCEC-928C93987C6C}" sibTransId="{12954914-2E34-3F44-8A5C-256CA4E9AEB3}"/>
    <dgm:cxn modelId="{E5450610-9D5C-0A45-8114-63D6C66E7A5D}" type="presOf" srcId="{B6033CCE-D4C9-694F-9433-4B6A3D5AC6C2}" destId="{8D6DFEA6-B5C8-7A4C-8CDE-65EE3F99830F}" srcOrd="0" destOrd="0" presId="urn:microsoft.com/office/officeart/2005/8/layout/orgChart1"/>
    <dgm:cxn modelId="{CB66F812-1B32-4B16-8207-34755F77BFFD}" type="presOf" srcId="{997E7C78-AE9B-44E5-924A-C9474B9A8DD6}" destId="{42CEB9A3-559F-4706-B78C-AD81814F9181}" srcOrd="1" destOrd="0" presId="urn:microsoft.com/office/officeart/2005/8/layout/orgChart1"/>
    <dgm:cxn modelId="{575F8D13-3874-9A4E-89F7-0223CD5C3142}" type="presOf" srcId="{FA3E2F2F-7E82-E24B-82FC-B6BDAE7AA4A2}" destId="{80A1EC55-CE5B-3643-9B7D-C014EAE29C1C}" srcOrd="1" destOrd="0" presId="urn:microsoft.com/office/officeart/2005/8/layout/orgChart1"/>
    <dgm:cxn modelId="{2EA04817-BFAB-6C41-814E-25AED19675B4}" srcId="{03619001-6FF1-40A7-B0A0-3D39DD39E429}" destId="{6C1F77A9-3B73-524D-9EC6-5DAFBA611496}" srcOrd="0" destOrd="0" parTransId="{C917B961-4C73-524E-94AB-914C3CD69522}" sibTransId="{C3B78D47-2865-FC4A-BBCC-BBEB91CE4890}"/>
    <dgm:cxn modelId="{7EF9D81C-721D-784B-B4F8-626ACC96E694}" type="presOf" srcId="{C917B961-4C73-524E-94AB-914C3CD69522}" destId="{1B6ABAB3-2433-D744-AA94-01ACA22D0DBC}" srcOrd="0" destOrd="0" presId="urn:microsoft.com/office/officeart/2005/8/layout/orgChart1"/>
    <dgm:cxn modelId="{747F8C1E-288B-4FFF-8762-4CCF0424203A}" type="presOf" srcId="{7B4147F8-7A61-4BC7-A88F-00D7653016AB}" destId="{D5626411-E192-4774-A1DA-2FEDEE423372}" srcOrd="0" destOrd="0" presId="urn:microsoft.com/office/officeart/2005/8/layout/orgChart1"/>
    <dgm:cxn modelId="{8DFDD822-2083-5046-BAE8-05E96C63DE47}" srcId="{A115D1C8-F13A-419C-A753-9CB48DDA3CEA}" destId="{DF69276E-7E15-104F-8599-55DFBBBDA39A}" srcOrd="5" destOrd="0" parTransId="{51279E38-ADFB-4344-B276-4CCF520AE3E2}" sibTransId="{4206DF26-E0EC-2E44-96D8-BA8CA7A6BC6D}"/>
    <dgm:cxn modelId="{28D06525-DE72-574A-B0B8-8403AC99EC37}" type="presOf" srcId="{0C65FD1B-7E59-BE40-8493-4B3B9FA1BDC0}" destId="{E45C132A-4887-4443-A4AC-9E6D46E51F58}" srcOrd="0" destOrd="0" presId="urn:microsoft.com/office/officeart/2005/8/layout/orgChart1"/>
    <dgm:cxn modelId="{D78E8025-BC50-B143-8344-B235C225103D}" type="presOf" srcId="{C168EA07-4CD4-424E-B162-C80A06057EF7}" destId="{929C6310-CA0C-9146-8824-EF59C5169D50}" srcOrd="0" destOrd="0" presId="urn:microsoft.com/office/officeart/2005/8/layout/orgChart1"/>
    <dgm:cxn modelId="{FEB0A62E-F9D9-7B42-8A47-9303543F55BC}" srcId="{A115D1C8-F13A-419C-A753-9CB48DDA3CEA}" destId="{2A961098-EB48-1F44-8D2A-022E4A3D7D69}" srcOrd="2" destOrd="0" parTransId="{67052CCC-6479-104D-B179-C39F3ADA02B8}" sibTransId="{8D5FA214-0665-E848-A175-03233635F50A}"/>
    <dgm:cxn modelId="{B896C933-6BE0-4A2A-8BB9-9D45E122BECB}" type="presOf" srcId="{C67A1EB7-9DBB-428F-A3C8-30F52DC84B07}" destId="{A3AB3C5E-9190-44B7-809C-0621B7AED697}" srcOrd="1" destOrd="0" presId="urn:microsoft.com/office/officeart/2005/8/layout/orgChart1"/>
    <dgm:cxn modelId="{5A9BD139-4684-5E41-AC82-BDC8CC0737AC}" type="presOf" srcId="{EFAE24B2-8991-984E-B919-EF7041490E9A}" destId="{6FC7C6F0-69D2-8B43-9202-FEBC427796E7}" srcOrd="1" destOrd="0" presId="urn:microsoft.com/office/officeart/2005/8/layout/orgChart1"/>
    <dgm:cxn modelId="{DB1BB03B-4450-B54B-8D9B-9E6C5280F78C}" type="presOf" srcId="{84FEEDB2-F486-284F-BB2B-B5D5BDAA73B7}" destId="{3A4A794C-E568-AD4B-8596-BC5FC7E88D69}" srcOrd="0" destOrd="0" presId="urn:microsoft.com/office/officeart/2005/8/layout/orgChart1"/>
    <dgm:cxn modelId="{626EAB3D-1E22-FD4B-88BE-8A5CA009FE7C}" type="presOf" srcId="{1B85A6C6-54EF-DF4B-BF21-AE64ED708E50}" destId="{6509CC11-8502-DC4F-B953-E5C41FC668B3}" srcOrd="1" destOrd="0" presId="urn:microsoft.com/office/officeart/2005/8/layout/orgChart1"/>
    <dgm:cxn modelId="{EF78DB3D-9D8C-0947-8FD8-F06EA3ABB4FC}" type="presOf" srcId="{959DC754-6DD2-374A-8263-24E4AFD8EA5B}" destId="{6A856006-6A65-C34E-8D3D-BE74280493F4}" srcOrd="1" destOrd="0" presId="urn:microsoft.com/office/officeart/2005/8/layout/orgChart1"/>
    <dgm:cxn modelId="{6A0B5B44-E45F-A348-940E-ECF818D95B27}" type="presOf" srcId="{3B040E46-0F24-7E4D-80FE-3E7429E373EC}" destId="{378504E3-4F07-4E46-9539-1F44746872F6}" srcOrd="1" destOrd="0" presId="urn:microsoft.com/office/officeart/2005/8/layout/orgChart1"/>
    <dgm:cxn modelId="{532A8845-8645-4744-8989-9A00A19589A2}" srcId="{4534AE86-1A47-4ACF-9FC1-5E0E70230C71}" destId="{CE28276D-DDE3-46EB-888E-3FAF59EEB750}" srcOrd="2" destOrd="0" parTransId="{7B4147F8-7A61-4BC7-A88F-00D7653016AB}" sibTransId="{51E7B266-3442-4A5F-B2A1-DF1442284C21}"/>
    <dgm:cxn modelId="{4D6B8148-8A6F-41C4-859A-B24C63D5B76F}" srcId="{4534AE86-1A47-4ACF-9FC1-5E0E70230C71}" destId="{03619001-6FF1-40A7-B0A0-3D39DD39E429}" srcOrd="1" destOrd="0" parTransId="{93D6C48A-FFB3-426B-8018-DE777DDA4EB8}" sibTransId="{4DC5F875-4DB1-464B-BF88-BE16F1C2912D}"/>
    <dgm:cxn modelId="{A25D6A4B-9995-4F8A-988E-A4709B16F72F}" type="presOf" srcId="{DBEC56FA-31B6-4F9D-8648-9706ADC45066}" destId="{01FBB675-D0A5-4AC0-9D40-09377EC1C2A3}" srcOrd="0" destOrd="0" presId="urn:microsoft.com/office/officeart/2005/8/layout/orgChart1"/>
    <dgm:cxn modelId="{33418A4B-D1B3-1C43-A7D7-EFA178180A9A}" type="presOf" srcId="{316736A1-2974-774F-83F3-2DC568B12A9F}" destId="{5D40542B-50B3-2141-BC97-74A112143A32}" srcOrd="0" destOrd="0" presId="urn:microsoft.com/office/officeart/2005/8/layout/orgChart1"/>
    <dgm:cxn modelId="{3897244C-3563-409C-861F-A650A36986C7}" srcId="{4534AE86-1A47-4ACF-9FC1-5E0E70230C71}" destId="{A115D1C8-F13A-419C-A753-9CB48DDA3CEA}" srcOrd="0" destOrd="0" parTransId="{A9B84270-CEDD-4F7E-8D8D-E8734B9F6A05}" sibTransId="{5B9B5078-1A4F-4CF6-A4BE-1465AB97F5AA}"/>
    <dgm:cxn modelId="{481F404F-0FEB-8241-89E3-7705FD163C1F}" type="presOf" srcId="{73473BFD-28C7-4844-9584-9A6EBBFC3D79}" destId="{F289B5D3-A987-0C4D-A760-B58A210A6BFE}" srcOrd="1" destOrd="0" presId="urn:microsoft.com/office/officeart/2005/8/layout/orgChart1"/>
    <dgm:cxn modelId="{5D593850-48AB-3940-A445-36A5B040F988}" srcId="{03619001-6FF1-40A7-B0A0-3D39DD39E429}" destId="{EE58DEFF-99C9-864F-9F8F-3AF390CF57F1}" srcOrd="2" destOrd="0" parTransId="{E60CA3EE-F754-0F47-94E8-76E159FE4EB9}" sibTransId="{FD86EC94-0233-9A4D-A16E-AA939B47CD06}"/>
    <dgm:cxn modelId="{63024E50-AAE7-B94E-8134-7A4EF3FB1701}" type="presOf" srcId="{3B040E46-0F24-7E4D-80FE-3E7429E373EC}" destId="{B32DBBF2-52B3-7846-9A58-35895A8927A8}" srcOrd="0" destOrd="0" presId="urn:microsoft.com/office/officeart/2005/8/layout/orgChart1"/>
    <dgm:cxn modelId="{C864BE52-B524-064D-9DEF-889089D13E21}" type="presOf" srcId="{B6033CCE-D4C9-694F-9433-4B6A3D5AC6C2}" destId="{27882F9C-9FF1-BC41-8AB3-E3FDCE6F9B64}" srcOrd="1" destOrd="0" presId="urn:microsoft.com/office/officeart/2005/8/layout/orgChart1"/>
    <dgm:cxn modelId="{9D784953-2698-5542-BD5E-8CB700C9CA41}" type="presOf" srcId="{79C043E8-1F58-4B4B-A29D-6EE2BAA5C255}" destId="{8B4D22E7-0232-7F4A-A8DC-2DA7BE11A9DF}" srcOrd="0" destOrd="0" presId="urn:microsoft.com/office/officeart/2005/8/layout/orgChart1"/>
    <dgm:cxn modelId="{873FC857-92FE-4AE0-B1A2-E24243E5591E}" type="presOf" srcId="{997E7C78-AE9B-44E5-924A-C9474B9A8DD6}" destId="{EA655C49-C43A-41E7-9F7E-2A0B66756ED1}" srcOrd="0" destOrd="0" presId="urn:microsoft.com/office/officeart/2005/8/layout/orgChart1"/>
    <dgm:cxn modelId="{2D796258-14DA-7D46-883F-DB0FA1A791AF}" type="presOf" srcId="{EE58DEFF-99C9-864F-9F8F-3AF390CF57F1}" destId="{F1BA0469-C817-3F46-9D4F-0EEBF27F2224}" srcOrd="0" destOrd="0" presId="urn:microsoft.com/office/officeart/2005/8/layout/orgChart1"/>
    <dgm:cxn modelId="{5D6C3259-7D7F-4735-BB38-B0261D918793}" type="presOf" srcId="{80231017-7CFE-4904-98E9-F820802D1A3F}" destId="{7C4FA640-54C5-4531-8DAF-C7B07D64BF81}" srcOrd="0" destOrd="0" presId="urn:microsoft.com/office/officeart/2005/8/layout/orgChart1"/>
    <dgm:cxn modelId="{0E35A25D-3EED-9840-8F86-08730D7C5F3B}" type="presOf" srcId="{69F055B6-44D3-674E-B4E8-47078DC8FE97}" destId="{13CF1539-2F8C-AB4C-8508-9DFAAD0FBFF8}" srcOrd="0" destOrd="0" presId="urn:microsoft.com/office/officeart/2005/8/layout/orgChart1"/>
    <dgm:cxn modelId="{2392635E-9B11-3449-B994-004A9938BFC0}" type="presOf" srcId="{2A961098-EB48-1F44-8D2A-022E4A3D7D69}" destId="{FDF017DA-EA0F-594F-880B-E94F512D6D3E}" srcOrd="1" destOrd="0" presId="urn:microsoft.com/office/officeart/2005/8/layout/orgChart1"/>
    <dgm:cxn modelId="{C23F6960-5CAC-42AF-B5B0-E5A4D28123D7}" type="presOf" srcId="{3CBBAEAA-1D6F-4F37-AD8C-DB3C2BEA80B0}" destId="{3C42FE75-F571-4C9D-8040-F34A1B613B2E}" srcOrd="0" destOrd="0" presId="urn:microsoft.com/office/officeart/2005/8/layout/orgChart1"/>
    <dgm:cxn modelId="{2A1EFD61-CEAF-2846-AB1C-14382628C1D8}" srcId="{CE28276D-DDE3-46EB-888E-3FAF59EEB750}" destId="{2AF16CBB-E6C9-2447-A8B7-C50DF309B7D9}" srcOrd="0" destOrd="0" parTransId="{C89E6E92-9E05-CD4E-A5ED-EAFB6FE5BB93}" sibTransId="{66F2B195-1933-0841-AB5D-75D19A7ED62B}"/>
    <dgm:cxn modelId="{DC164E64-E8BE-4F49-9DB5-F0EB93F7B2D9}" type="presOf" srcId="{DF69276E-7E15-104F-8599-55DFBBBDA39A}" destId="{0A7E62F7-D8BC-2F43-8D7B-BF08C90FE700}" srcOrd="1" destOrd="0" presId="urn:microsoft.com/office/officeart/2005/8/layout/orgChart1"/>
    <dgm:cxn modelId="{64F55764-681A-824D-B715-D07C3B824857}" srcId="{4534AE86-1A47-4ACF-9FC1-5E0E70230C71}" destId="{FA3E2F2F-7E82-E24B-82FC-B6BDAE7AA4A2}" srcOrd="4" destOrd="0" parTransId="{FE049FB3-2F8B-1842-ADB3-B82609822389}" sibTransId="{716F6070-CA14-7F4F-892C-C53AF3123FDB}"/>
    <dgm:cxn modelId="{755C956C-D0CF-D84F-BB73-D488C6B5C748}" type="presOf" srcId="{B8A63D67-F3C9-8E41-B6AE-5E831AF408DA}" destId="{24B2395B-EA0C-8C45-9D2E-C0E0300F269F}" srcOrd="0" destOrd="0" presId="urn:microsoft.com/office/officeart/2005/8/layout/orgChart1"/>
    <dgm:cxn modelId="{EF10556E-1FA7-A445-AC86-3494A9D9A54A}" srcId="{B8A63D67-F3C9-8E41-B6AE-5E831AF408DA}" destId="{C168EA07-4CD4-424E-B162-C80A06057EF7}" srcOrd="0" destOrd="0" parTransId="{450D8A5D-67B7-3C48-8169-C171E9187620}" sibTransId="{C554D2A8-4422-4D48-93B1-0C3E5127E9C6}"/>
    <dgm:cxn modelId="{7F39A16E-1B0C-3F40-809F-211DC033ECE5}" srcId="{A115D1C8-F13A-419C-A753-9CB48DDA3CEA}" destId="{1B85A6C6-54EF-DF4B-BF21-AE64ED708E50}" srcOrd="3" destOrd="0" parTransId="{69F055B6-44D3-674E-B4E8-47078DC8FE97}" sibTransId="{438FB781-129F-0840-9767-AA82DE2A362F}"/>
    <dgm:cxn modelId="{5AB3586F-2D66-9540-99A0-4D0F8BA33232}" type="presOf" srcId="{22F77AF8-4EF6-DE4B-8D4F-7BC90150E3AC}" destId="{83FEF479-E584-B648-85C1-22FABC4CBC6F}" srcOrd="1" destOrd="0" presId="urn:microsoft.com/office/officeart/2005/8/layout/orgChart1"/>
    <dgm:cxn modelId="{80DED172-A62C-4737-BFBC-6AE48405C488}" type="presOf" srcId="{03619001-6FF1-40A7-B0A0-3D39DD39E429}" destId="{1F130361-C562-4338-AA13-1BFAF21F89FB}" srcOrd="0" destOrd="0" presId="urn:microsoft.com/office/officeart/2005/8/layout/orgChart1"/>
    <dgm:cxn modelId="{04E66074-C8EE-40D6-BDE9-14A5E5CB45ED}" type="presOf" srcId="{CE28276D-DDE3-46EB-888E-3FAF59EEB750}" destId="{F3E2C4B2-C746-40D9-A9D6-AC7E41CF72A8}" srcOrd="0" destOrd="0" presId="urn:microsoft.com/office/officeart/2005/8/layout/orgChart1"/>
    <dgm:cxn modelId="{BFB3FD76-7ECE-4D69-B93F-52B22AAE3B98}" type="presOf" srcId="{A115D1C8-F13A-419C-A753-9CB48DDA3CEA}" destId="{2AFE797C-2B54-4127-BDF0-9A30B9D5E7F5}" srcOrd="1" destOrd="0" presId="urn:microsoft.com/office/officeart/2005/8/layout/orgChart1"/>
    <dgm:cxn modelId="{A5ADC778-15D9-4070-9349-F4A8B442157F}" type="presOf" srcId="{CE28276D-DDE3-46EB-888E-3FAF59EEB750}" destId="{DEEC3C2D-5A3B-4869-A53A-17C7C3272BEB}" srcOrd="1" destOrd="0" presId="urn:microsoft.com/office/officeart/2005/8/layout/orgChart1"/>
    <dgm:cxn modelId="{56D50E79-37B8-E24D-9D05-C58C9C53CF1B}" type="presOf" srcId="{3F766F1E-DD46-304B-BCEC-928C93987C6C}" destId="{8E6E189D-394C-A541-9D57-75605C4D2C0A}" srcOrd="0" destOrd="0" presId="urn:microsoft.com/office/officeart/2005/8/layout/orgChart1"/>
    <dgm:cxn modelId="{3B69C87A-FE2E-454E-81E7-7BAF44926FF3}" type="presOf" srcId="{450D8A5D-67B7-3C48-8169-C171E9187620}" destId="{C7CF70CD-8904-FA43-B2FD-ABAB9A8562BA}" srcOrd="0" destOrd="0" presId="urn:microsoft.com/office/officeart/2005/8/layout/orgChart1"/>
    <dgm:cxn modelId="{EC17087E-502C-4945-ACE5-4C8A4E7BC1E5}" type="presOf" srcId="{1B85A6C6-54EF-DF4B-BF21-AE64ED708E50}" destId="{61F43B20-553D-AF4A-8C89-61E935B220B5}" srcOrd="0" destOrd="0" presId="urn:microsoft.com/office/officeart/2005/8/layout/orgChart1"/>
    <dgm:cxn modelId="{02A83380-0EB8-45A2-AAB3-A31785695F26}" type="presOf" srcId="{A9B84270-CEDD-4F7E-8D8D-E8734B9F6A05}" destId="{B038634F-D613-46FA-97E7-845920CBF28D}" srcOrd="0" destOrd="0" presId="urn:microsoft.com/office/officeart/2005/8/layout/orgChart1"/>
    <dgm:cxn modelId="{C3C2FB83-00ED-2E47-9089-7E271FFD0AE2}" type="presOf" srcId="{095C8E63-821E-C64B-9F9A-24EDAF3BB747}" destId="{AF5715AC-23EB-784C-A9E7-1C318CA8E2E0}" srcOrd="0" destOrd="0" presId="urn:microsoft.com/office/officeart/2005/8/layout/orgChart1"/>
    <dgm:cxn modelId="{65938F85-C91A-B04A-84C6-9D984AA62E49}" srcId="{4534AE86-1A47-4ACF-9FC1-5E0E70230C71}" destId="{B8A63D67-F3C9-8E41-B6AE-5E831AF408DA}" srcOrd="5" destOrd="0" parTransId="{79C043E8-1F58-4B4B-A29D-6EE2BAA5C255}" sibTransId="{218501CA-F7B8-964B-B03C-684F738B388F}"/>
    <dgm:cxn modelId="{10A40789-D60A-8F4D-B8CC-63E8548C4C26}" type="presOf" srcId="{2AF16CBB-E6C9-2447-A8B7-C50DF309B7D9}" destId="{EC59D19B-7C2D-6944-8320-524E9CDA67E1}" srcOrd="1" destOrd="0" presId="urn:microsoft.com/office/officeart/2005/8/layout/orgChart1"/>
    <dgm:cxn modelId="{1E34C38B-8701-4C84-AD84-6EBD1907E49E}" type="presOf" srcId="{4534AE86-1A47-4ACF-9FC1-5E0E70230C71}" destId="{5AF7FB57-F630-46E8-A88D-D64D6C90E401}" srcOrd="0" destOrd="0" presId="urn:microsoft.com/office/officeart/2005/8/layout/orgChart1"/>
    <dgm:cxn modelId="{EBA42092-28EE-144F-9783-F447B9D813B1}" srcId="{03619001-6FF1-40A7-B0A0-3D39DD39E429}" destId="{EFAE24B2-8991-984E-B919-EF7041490E9A}" srcOrd="1" destOrd="0" parTransId="{E324F19D-05C3-2C49-BBA8-B13AD96AAB44}" sibTransId="{8C3FA787-0C00-864F-8147-A8BB75C87A89}"/>
    <dgm:cxn modelId="{BFBD2592-18FB-EC4E-B018-498F5A5ED2B6}" type="presOf" srcId="{6C1F77A9-3B73-524D-9EC6-5DAFBA611496}" destId="{7B24ED59-5973-E64D-A78D-A3E3166F399B}" srcOrd="1" destOrd="0" presId="urn:microsoft.com/office/officeart/2005/8/layout/orgChart1"/>
    <dgm:cxn modelId="{3EC88796-3048-3B49-A456-01BD477A4F73}" type="presOf" srcId="{E324F19D-05C3-2C49-BBA8-B13AD96AAB44}" destId="{67B65A7B-2D16-C34F-9120-0F0A5E2B93A4}" srcOrd="0" destOrd="0" presId="urn:microsoft.com/office/officeart/2005/8/layout/orgChart1"/>
    <dgm:cxn modelId="{CD4A0497-7C99-2542-AE66-4BEE34B37078}" type="presOf" srcId="{959DC754-6DD2-374A-8263-24E4AFD8EA5B}" destId="{AF7A921C-54EE-6540-B013-8B6D78282F80}" srcOrd="0" destOrd="0" presId="urn:microsoft.com/office/officeart/2005/8/layout/orgChart1"/>
    <dgm:cxn modelId="{02A88A9A-76FA-794C-9739-19BE9FF03DBF}" type="presOf" srcId="{73473BFD-28C7-4844-9584-9A6EBBFC3D79}" destId="{BCA5D11B-BF5B-2D46-A7AE-77149142F02C}" srcOrd="0" destOrd="0" presId="urn:microsoft.com/office/officeart/2005/8/layout/orgChart1"/>
    <dgm:cxn modelId="{F06BD5A2-0641-B840-985D-DDEEAEF15953}" type="presOf" srcId="{2A961098-EB48-1F44-8D2A-022E4A3D7D69}" destId="{B31B971D-17A9-9E4E-99E7-90E8DD2F00F5}" srcOrd="0" destOrd="0" presId="urn:microsoft.com/office/officeart/2005/8/layout/orgChart1"/>
    <dgm:cxn modelId="{E09A65A5-DDA5-FE4D-893F-ED685412D192}" type="presOf" srcId="{E60CA3EE-F754-0F47-94E8-76E159FE4EB9}" destId="{87E1F72E-DC7E-E34A-ACDF-263ABEF71440}" srcOrd="0" destOrd="0" presId="urn:microsoft.com/office/officeart/2005/8/layout/orgChart1"/>
    <dgm:cxn modelId="{7C58DFA5-46F4-C64E-AAF2-66BF4ACCD5BE}" type="presOf" srcId="{C168EA07-4CD4-424E-B162-C80A06057EF7}" destId="{5849B928-ABE8-3C4C-93DB-ED185C0B15B2}" srcOrd="1" destOrd="0" presId="urn:microsoft.com/office/officeart/2005/8/layout/orgChart1"/>
    <dgm:cxn modelId="{950767A8-E1AD-9544-8D04-10A61F570DB3}" srcId="{CE28276D-DDE3-46EB-888E-3FAF59EEB750}" destId="{84FEEDB2-F486-284F-BB2B-B5D5BDAA73B7}" srcOrd="1" destOrd="0" parTransId="{095C8E63-821E-C64B-9F9A-24EDAF3BB747}" sibTransId="{53E9D90C-3220-CF46-BF35-23372FADFE66}"/>
    <dgm:cxn modelId="{E9CA49AA-260B-4CAE-B399-F5BCC4B1E8F9}" srcId="{A115D1C8-F13A-419C-A753-9CB48DDA3CEA}" destId="{997E7C78-AE9B-44E5-924A-C9474B9A8DD6}" srcOrd="0" destOrd="0" parTransId="{3CBBAEAA-1D6F-4F37-AD8C-DB3C2BEA80B0}" sibTransId="{39A1D66C-087B-434F-8FC2-15D6980826CB}"/>
    <dgm:cxn modelId="{A3C953AA-6567-154E-80AD-C508FAC89CD2}" type="presOf" srcId="{09BA663C-7E95-7A45-9E53-7E01D46CDD02}" destId="{47A2461A-8265-824A-8152-3DAE0E300CAD}" srcOrd="0" destOrd="0" presId="urn:microsoft.com/office/officeart/2005/8/layout/orgChart1"/>
    <dgm:cxn modelId="{45721EAE-C3A9-454D-A84A-1D3C08BD8A95}" type="presOf" srcId="{4534AE86-1A47-4ACF-9FC1-5E0E70230C71}" destId="{55B7E19E-0BF7-448B-9531-44202EF72E9F}" srcOrd="1" destOrd="0" presId="urn:microsoft.com/office/officeart/2005/8/layout/orgChart1"/>
    <dgm:cxn modelId="{6D8732B1-7ED5-FC40-AC8F-5962B73E905E}" srcId="{B8A63D67-F3C9-8E41-B6AE-5E831AF408DA}" destId="{959DC754-6DD2-374A-8263-24E4AFD8EA5B}" srcOrd="1" destOrd="0" parTransId="{15D051A4-D174-B847-8196-85F6C2611588}" sibTransId="{050A663E-F1AE-F346-A825-E63757ED0028}"/>
    <dgm:cxn modelId="{B49EA0B3-545A-F24A-A7A7-41DDD3D9B352}" type="presOf" srcId="{B8A63D67-F3C9-8E41-B6AE-5E831AF408DA}" destId="{3366A7D9-92E0-7948-A6C2-5BFF2B2397B6}" srcOrd="1" destOrd="0" presId="urn:microsoft.com/office/officeart/2005/8/layout/orgChart1"/>
    <dgm:cxn modelId="{3F853DB6-A49E-8F43-B2AA-A9928A202D9F}" srcId="{A115D1C8-F13A-419C-A753-9CB48DDA3CEA}" destId="{22F77AF8-4EF6-DE4B-8D4F-7BC90150E3AC}" srcOrd="6" destOrd="0" parTransId="{C93C532E-1366-D547-87D7-1AF8DAB480BE}" sibTransId="{A1C2D139-9FB2-424D-8736-9D25B198BCFD}"/>
    <dgm:cxn modelId="{C197C0B8-D5A2-4714-A042-8361520A929C}" srcId="{DBEC56FA-31B6-4F9D-8648-9706ADC45066}" destId="{4534AE86-1A47-4ACF-9FC1-5E0E70230C71}" srcOrd="0" destOrd="0" parTransId="{65967CC5-F758-479B-9853-71C5D5769E6D}" sibTransId="{71ADCA46-A57C-46C8-9AC3-D93DCC05AF36}"/>
    <dgm:cxn modelId="{59BCA5BA-6E13-E24A-9AEF-EA1AB3FD5D25}" type="presOf" srcId="{6C1F77A9-3B73-524D-9EC6-5DAFBA611496}" destId="{D1BC4318-905E-AC4E-B2B6-0ADFB83D395D}" srcOrd="0" destOrd="0" presId="urn:microsoft.com/office/officeart/2005/8/layout/orgChart1"/>
    <dgm:cxn modelId="{473514BB-A924-E243-9563-DCD1D7458A8A}" srcId="{A115D1C8-F13A-419C-A753-9CB48DDA3CEA}" destId="{3B040E46-0F24-7E4D-80FE-3E7429E373EC}" srcOrd="4" destOrd="0" parTransId="{09BA663C-7E95-7A45-9E53-7E01D46CDD02}" sibTransId="{A677707F-FE28-AB41-B799-3EABB28AC866}"/>
    <dgm:cxn modelId="{62C13ABB-C19E-E047-87AF-116BD534CD98}" type="presOf" srcId="{603457C1-56D5-A446-93E6-496100D0586B}" destId="{4AEBF024-B1DB-3C4C-952E-4A19295FF657}" srcOrd="0" destOrd="0" presId="urn:microsoft.com/office/officeart/2005/8/layout/orgChart1"/>
    <dgm:cxn modelId="{271A44BB-A0A6-46E8-9E96-F154BBCF508C}" srcId="{A115D1C8-F13A-419C-A753-9CB48DDA3CEA}" destId="{C67A1EB7-9DBB-428F-A3C8-30F52DC84B07}" srcOrd="1" destOrd="0" parTransId="{80231017-7CFE-4904-98E9-F820802D1A3F}" sibTransId="{953D5461-0096-4D2A-9365-2475CBB75D7A}"/>
    <dgm:cxn modelId="{49B053BB-35B4-464F-8367-77B95588BB68}" srcId="{CE28276D-DDE3-46EB-888E-3FAF59EEB750}" destId="{B6033CCE-D4C9-694F-9433-4B6A3D5AC6C2}" srcOrd="2" destOrd="0" parTransId="{316736A1-2974-774F-83F3-2DC568B12A9F}" sibTransId="{72F68F2E-43F4-DE48-9F05-C1B60CAE7F30}"/>
    <dgm:cxn modelId="{59A922C5-E885-A643-8636-C413EFCACB0E}" type="presOf" srcId="{51279E38-ADFB-4344-B276-4CCF520AE3E2}" destId="{7289BE61-B3BD-F14F-8E98-42746FD3A5DD}" srcOrd="0" destOrd="0" presId="urn:microsoft.com/office/officeart/2005/8/layout/orgChart1"/>
    <dgm:cxn modelId="{471C66C6-F953-4EC0-A8C6-B4867DF23735}" type="presOf" srcId="{A115D1C8-F13A-419C-A753-9CB48DDA3CEA}" destId="{C85CEC50-53E4-4B02-89DA-95B0F4C5533B}" srcOrd="0" destOrd="0" presId="urn:microsoft.com/office/officeart/2005/8/layout/orgChart1"/>
    <dgm:cxn modelId="{0FC71CCA-0A9F-D348-A6E1-D5507C5AC767}" type="presOf" srcId="{EE58DEFF-99C9-864F-9F8F-3AF390CF57F1}" destId="{8B669FC3-AEB7-B744-ABB1-E2EB1C3228B0}" srcOrd="1" destOrd="0" presId="urn:microsoft.com/office/officeart/2005/8/layout/orgChart1"/>
    <dgm:cxn modelId="{41641FCF-933D-8749-807B-9CDB3170A740}" type="presOf" srcId="{DF69276E-7E15-104F-8599-55DFBBBDA39A}" destId="{0AB2843F-3672-1E4A-8F53-77F4E7760227}" srcOrd="0" destOrd="0" presId="urn:microsoft.com/office/officeart/2005/8/layout/orgChart1"/>
    <dgm:cxn modelId="{EEDE48CF-8B53-40D4-815D-F0C321B23E8C}" type="presOf" srcId="{C67A1EB7-9DBB-428F-A3C8-30F52DC84B07}" destId="{8FAED61E-0CEE-4A88-96CF-E5AD99493BA7}" srcOrd="0" destOrd="0" presId="urn:microsoft.com/office/officeart/2005/8/layout/orgChart1"/>
    <dgm:cxn modelId="{FE438FD4-5A6D-154E-A835-7C4EE006048C}" type="presOf" srcId="{22F77AF8-4EF6-DE4B-8D4F-7BC90150E3AC}" destId="{8F874AF9-5271-4548-82C0-6079FB7D327C}" srcOrd="0" destOrd="0" presId="urn:microsoft.com/office/officeart/2005/8/layout/orgChart1"/>
    <dgm:cxn modelId="{C86A00D9-43B0-3B4A-92AD-527ADA110B42}" type="presOf" srcId="{84FEEDB2-F486-284F-BB2B-B5D5BDAA73B7}" destId="{B476F93F-479B-E444-8D24-A8893BCF63BF}" srcOrd="1" destOrd="0" presId="urn:microsoft.com/office/officeart/2005/8/layout/orgChart1"/>
    <dgm:cxn modelId="{1DAB97DD-9975-AD46-8DE8-8553234B7B23}" type="presOf" srcId="{FE049FB3-2F8B-1842-ADB3-B82609822389}" destId="{C752CAAC-7B51-DC4D-8A84-6472FB0B2B18}" srcOrd="0" destOrd="0" presId="urn:microsoft.com/office/officeart/2005/8/layout/orgChart1"/>
    <dgm:cxn modelId="{C2A89CDE-24F4-2446-BE92-767BF2E4C974}" type="presOf" srcId="{FA3E2F2F-7E82-E24B-82FC-B6BDAE7AA4A2}" destId="{91F0D91F-6812-C64A-95D2-BD5C91A29C98}" srcOrd="0" destOrd="0" presId="urn:microsoft.com/office/officeart/2005/8/layout/orgChart1"/>
    <dgm:cxn modelId="{2DDCC4E1-3DC7-AA40-A4D7-FBD87954F28B}" type="presOf" srcId="{2AF16CBB-E6C9-2447-A8B7-C50DF309B7D9}" destId="{E52D6E3D-849F-6B46-B551-5EBBF81FC80F}" srcOrd="0" destOrd="0" presId="urn:microsoft.com/office/officeart/2005/8/layout/orgChart1"/>
    <dgm:cxn modelId="{872ACDE6-6F8D-6844-8DF4-5EA9AA474240}" type="presOf" srcId="{C93C532E-1366-D547-87D7-1AF8DAB480BE}" destId="{13B32C51-947C-834B-B6DA-32A1EA618618}" srcOrd="0" destOrd="0" presId="urn:microsoft.com/office/officeart/2005/8/layout/orgChart1"/>
    <dgm:cxn modelId="{200E17E8-81A8-422D-B1A2-7E172E495E5B}" type="presOf" srcId="{93D6C48A-FFB3-426B-8018-DE777DDA4EB8}" destId="{CC17F672-5E04-48BF-AA11-D70CDBC16B2B}" srcOrd="0" destOrd="0" presId="urn:microsoft.com/office/officeart/2005/8/layout/orgChart1"/>
    <dgm:cxn modelId="{199E22ED-981E-F84A-BE68-1EED3292FE33}" type="presOf" srcId="{67052CCC-6479-104D-B179-C39F3ADA02B8}" destId="{DEE42FFC-822E-3442-92EF-30BCD5327804}" srcOrd="0" destOrd="0" presId="urn:microsoft.com/office/officeart/2005/8/layout/orgChart1"/>
    <dgm:cxn modelId="{180717F4-15E4-8F4E-A90A-5D7AD313F9AF}" srcId="{A115D1C8-F13A-419C-A753-9CB48DDA3CEA}" destId="{603457C1-56D5-A446-93E6-496100D0586B}" srcOrd="7" destOrd="0" parTransId="{0C65FD1B-7E59-BE40-8493-4B3B9FA1BDC0}" sibTransId="{463D3B99-69CF-EC49-B2BC-6C714C0F639F}"/>
    <dgm:cxn modelId="{98D759F7-6EFD-BF40-9220-1FAB38CCB658}" type="presOf" srcId="{15D051A4-D174-B847-8196-85F6C2611588}" destId="{4E0B7D25-F8E9-A148-A369-B8658911486D}" srcOrd="0" destOrd="0" presId="urn:microsoft.com/office/officeart/2005/8/layout/orgChart1"/>
    <dgm:cxn modelId="{14D9B4F7-9590-6A4D-8C9E-BDD72C62916B}" type="presOf" srcId="{C89E6E92-9E05-CD4E-A5ED-EAFB6FE5BB93}" destId="{B05517A1-728E-E043-92FC-303D08ADB907}" srcOrd="0" destOrd="0" presId="urn:microsoft.com/office/officeart/2005/8/layout/orgChart1"/>
    <dgm:cxn modelId="{00BD9BF8-082D-AA45-BD51-0174B0B46C90}" type="presOf" srcId="{EFAE24B2-8991-984E-B919-EF7041490E9A}" destId="{7D069778-6578-DA4C-884E-8B054A8829A9}" srcOrd="0" destOrd="0" presId="urn:microsoft.com/office/officeart/2005/8/layout/orgChart1"/>
    <dgm:cxn modelId="{16AB03C2-BDB9-4E21-B4EF-5DFB4159E509}" type="presParOf" srcId="{01FBB675-D0A5-4AC0-9D40-09377EC1C2A3}" destId="{B71878A2-6F55-4F39-B919-44E307D81AFE}" srcOrd="0" destOrd="0" presId="urn:microsoft.com/office/officeart/2005/8/layout/orgChart1"/>
    <dgm:cxn modelId="{6BFBFA19-A019-498A-8596-F52EA18F21A2}" type="presParOf" srcId="{B71878A2-6F55-4F39-B919-44E307D81AFE}" destId="{ED6C9F71-529E-4534-AC6E-929E41E019C4}" srcOrd="0" destOrd="0" presId="urn:microsoft.com/office/officeart/2005/8/layout/orgChart1"/>
    <dgm:cxn modelId="{058B1294-94D3-418B-93DF-1E0897F6612F}" type="presParOf" srcId="{ED6C9F71-529E-4534-AC6E-929E41E019C4}" destId="{5AF7FB57-F630-46E8-A88D-D64D6C90E401}" srcOrd="0" destOrd="0" presId="urn:microsoft.com/office/officeart/2005/8/layout/orgChart1"/>
    <dgm:cxn modelId="{0310CD3E-3DC9-4236-87DE-D2ED700237E2}" type="presParOf" srcId="{ED6C9F71-529E-4534-AC6E-929E41E019C4}" destId="{55B7E19E-0BF7-448B-9531-44202EF72E9F}" srcOrd="1" destOrd="0" presId="urn:microsoft.com/office/officeart/2005/8/layout/orgChart1"/>
    <dgm:cxn modelId="{F9D96883-1C78-480E-A478-314AACF1846A}" type="presParOf" srcId="{B71878A2-6F55-4F39-B919-44E307D81AFE}" destId="{1F44325C-7C70-4307-96C4-EF2BCC9B5044}" srcOrd="1" destOrd="0" presId="urn:microsoft.com/office/officeart/2005/8/layout/orgChart1"/>
    <dgm:cxn modelId="{AB5F1CEB-A354-4576-914C-B99F0795C37E}" type="presParOf" srcId="{1F44325C-7C70-4307-96C4-EF2BCC9B5044}" destId="{B038634F-D613-46FA-97E7-845920CBF28D}" srcOrd="0" destOrd="0" presId="urn:microsoft.com/office/officeart/2005/8/layout/orgChart1"/>
    <dgm:cxn modelId="{BF223A6D-87A2-40BA-94E7-9818AF8C2BC1}" type="presParOf" srcId="{1F44325C-7C70-4307-96C4-EF2BCC9B5044}" destId="{39AC9FCB-9A57-45DF-9880-BCD79BB57B77}" srcOrd="1" destOrd="0" presId="urn:microsoft.com/office/officeart/2005/8/layout/orgChart1"/>
    <dgm:cxn modelId="{3BE8EA11-F831-481E-AE0B-5545A4259F40}" type="presParOf" srcId="{39AC9FCB-9A57-45DF-9880-BCD79BB57B77}" destId="{99A93CC3-2312-452C-8C63-83061F3410DB}" srcOrd="0" destOrd="0" presId="urn:microsoft.com/office/officeart/2005/8/layout/orgChart1"/>
    <dgm:cxn modelId="{A6898CC8-915E-41EC-9217-9CFA0D68BB36}" type="presParOf" srcId="{99A93CC3-2312-452C-8C63-83061F3410DB}" destId="{C85CEC50-53E4-4B02-89DA-95B0F4C5533B}" srcOrd="0" destOrd="0" presId="urn:microsoft.com/office/officeart/2005/8/layout/orgChart1"/>
    <dgm:cxn modelId="{B0C17A38-9484-4C92-A747-86CE193ECBC5}" type="presParOf" srcId="{99A93CC3-2312-452C-8C63-83061F3410DB}" destId="{2AFE797C-2B54-4127-BDF0-9A30B9D5E7F5}" srcOrd="1" destOrd="0" presId="urn:microsoft.com/office/officeart/2005/8/layout/orgChart1"/>
    <dgm:cxn modelId="{6ED2BA17-E2E2-49B5-B0DE-A2265E673B05}" type="presParOf" srcId="{39AC9FCB-9A57-45DF-9880-BCD79BB57B77}" destId="{92EB7E14-4B8E-4D12-9726-50A902018361}" srcOrd="1" destOrd="0" presId="urn:microsoft.com/office/officeart/2005/8/layout/orgChart1"/>
    <dgm:cxn modelId="{B3DBB953-DB1E-4374-8B7E-24335DEC398D}" type="presParOf" srcId="{92EB7E14-4B8E-4D12-9726-50A902018361}" destId="{3C42FE75-F571-4C9D-8040-F34A1B613B2E}" srcOrd="0" destOrd="0" presId="urn:microsoft.com/office/officeart/2005/8/layout/orgChart1"/>
    <dgm:cxn modelId="{04CBBDBB-C552-44C6-8262-A4D8CBB20AEB}" type="presParOf" srcId="{92EB7E14-4B8E-4D12-9726-50A902018361}" destId="{19C35DA6-4FA5-484B-9559-C952EFF9B7AC}" srcOrd="1" destOrd="0" presId="urn:microsoft.com/office/officeart/2005/8/layout/orgChart1"/>
    <dgm:cxn modelId="{84FCF8F7-C9E0-4AB7-B4C5-777DE248B0D1}" type="presParOf" srcId="{19C35DA6-4FA5-484B-9559-C952EFF9B7AC}" destId="{5C5EB36F-FB92-4D70-96B3-DB4AFEB1C0C8}" srcOrd="0" destOrd="0" presId="urn:microsoft.com/office/officeart/2005/8/layout/orgChart1"/>
    <dgm:cxn modelId="{EA759A8A-773A-4E1E-B05F-A6CB2AD01CB5}" type="presParOf" srcId="{5C5EB36F-FB92-4D70-96B3-DB4AFEB1C0C8}" destId="{EA655C49-C43A-41E7-9F7E-2A0B66756ED1}" srcOrd="0" destOrd="0" presId="urn:microsoft.com/office/officeart/2005/8/layout/orgChart1"/>
    <dgm:cxn modelId="{B1FB3DBF-DF33-4085-A8FF-C835EC68FD16}" type="presParOf" srcId="{5C5EB36F-FB92-4D70-96B3-DB4AFEB1C0C8}" destId="{42CEB9A3-559F-4706-B78C-AD81814F9181}" srcOrd="1" destOrd="0" presId="urn:microsoft.com/office/officeart/2005/8/layout/orgChart1"/>
    <dgm:cxn modelId="{A6E4C5C6-66CF-432C-A207-30571BACC2D3}" type="presParOf" srcId="{19C35DA6-4FA5-484B-9559-C952EFF9B7AC}" destId="{D698E857-E656-448A-96B1-DF54C1F916A8}" srcOrd="1" destOrd="0" presId="urn:microsoft.com/office/officeart/2005/8/layout/orgChart1"/>
    <dgm:cxn modelId="{DC45B6E5-4C45-4B26-8A83-A47BCDF02A91}" type="presParOf" srcId="{19C35DA6-4FA5-484B-9559-C952EFF9B7AC}" destId="{564B2E8B-C4A6-48A4-B1B4-7A7A467EE16F}" srcOrd="2" destOrd="0" presId="urn:microsoft.com/office/officeart/2005/8/layout/orgChart1"/>
    <dgm:cxn modelId="{4125077D-8D36-4063-8881-D181E4442E1D}" type="presParOf" srcId="{92EB7E14-4B8E-4D12-9726-50A902018361}" destId="{7C4FA640-54C5-4531-8DAF-C7B07D64BF81}" srcOrd="2" destOrd="0" presId="urn:microsoft.com/office/officeart/2005/8/layout/orgChart1"/>
    <dgm:cxn modelId="{C17D1ADE-4681-4053-BA48-649DA25834D7}" type="presParOf" srcId="{92EB7E14-4B8E-4D12-9726-50A902018361}" destId="{13D48AEB-A141-461C-B547-2AD06BF865AA}" srcOrd="3" destOrd="0" presId="urn:microsoft.com/office/officeart/2005/8/layout/orgChart1"/>
    <dgm:cxn modelId="{516E24A3-2A16-46DD-8DB4-788A48FA61F9}" type="presParOf" srcId="{13D48AEB-A141-461C-B547-2AD06BF865AA}" destId="{EF86820A-3154-4070-AA40-A67011877DA0}" srcOrd="0" destOrd="0" presId="urn:microsoft.com/office/officeart/2005/8/layout/orgChart1"/>
    <dgm:cxn modelId="{BDB14572-26E9-4C55-BF0B-14672394353E}" type="presParOf" srcId="{EF86820A-3154-4070-AA40-A67011877DA0}" destId="{8FAED61E-0CEE-4A88-96CF-E5AD99493BA7}" srcOrd="0" destOrd="0" presId="urn:microsoft.com/office/officeart/2005/8/layout/orgChart1"/>
    <dgm:cxn modelId="{060994E8-B50F-4E14-B027-E8908926F741}" type="presParOf" srcId="{EF86820A-3154-4070-AA40-A67011877DA0}" destId="{A3AB3C5E-9190-44B7-809C-0621B7AED697}" srcOrd="1" destOrd="0" presId="urn:microsoft.com/office/officeart/2005/8/layout/orgChart1"/>
    <dgm:cxn modelId="{9E7629F3-0E77-45C4-9560-E22766E94258}" type="presParOf" srcId="{13D48AEB-A141-461C-B547-2AD06BF865AA}" destId="{D7961B1A-9D01-4994-A705-2A403AE4E8B9}" srcOrd="1" destOrd="0" presId="urn:microsoft.com/office/officeart/2005/8/layout/orgChart1"/>
    <dgm:cxn modelId="{325C597E-79C1-4FE1-B505-4041DFFE9419}" type="presParOf" srcId="{13D48AEB-A141-461C-B547-2AD06BF865AA}" destId="{FC147B65-125A-459B-8BF8-C4CD1893164E}" srcOrd="2" destOrd="0" presId="urn:microsoft.com/office/officeart/2005/8/layout/orgChart1"/>
    <dgm:cxn modelId="{737885D3-71B0-E245-BEA9-E2C4AB9ED6E0}" type="presParOf" srcId="{92EB7E14-4B8E-4D12-9726-50A902018361}" destId="{DEE42FFC-822E-3442-92EF-30BCD5327804}" srcOrd="4" destOrd="0" presId="urn:microsoft.com/office/officeart/2005/8/layout/orgChart1"/>
    <dgm:cxn modelId="{571817CF-B225-A34C-8BEE-00AA5A81CC56}" type="presParOf" srcId="{92EB7E14-4B8E-4D12-9726-50A902018361}" destId="{624DD1AB-33F3-6B43-A832-65560BB8C9B0}" srcOrd="5" destOrd="0" presId="urn:microsoft.com/office/officeart/2005/8/layout/orgChart1"/>
    <dgm:cxn modelId="{2678EB5C-2F22-5743-AD79-B82DD55721E6}" type="presParOf" srcId="{624DD1AB-33F3-6B43-A832-65560BB8C9B0}" destId="{7556B030-B19E-2946-B38F-8125746A18BA}" srcOrd="0" destOrd="0" presId="urn:microsoft.com/office/officeart/2005/8/layout/orgChart1"/>
    <dgm:cxn modelId="{A81F0659-A7A4-6449-B0DA-2956B2790A08}" type="presParOf" srcId="{7556B030-B19E-2946-B38F-8125746A18BA}" destId="{B31B971D-17A9-9E4E-99E7-90E8DD2F00F5}" srcOrd="0" destOrd="0" presId="urn:microsoft.com/office/officeart/2005/8/layout/orgChart1"/>
    <dgm:cxn modelId="{163B2023-2DCA-824A-85B3-9ACDD3C7D7E2}" type="presParOf" srcId="{7556B030-B19E-2946-B38F-8125746A18BA}" destId="{FDF017DA-EA0F-594F-880B-E94F512D6D3E}" srcOrd="1" destOrd="0" presId="urn:microsoft.com/office/officeart/2005/8/layout/orgChart1"/>
    <dgm:cxn modelId="{1F22922C-62AB-0A4E-ABE5-812FFB39DAB3}" type="presParOf" srcId="{624DD1AB-33F3-6B43-A832-65560BB8C9B0}" destId="{3C077209-4F0D-2146-A2D7-3BE7E6859562}" srcOrd="1" destOrd="0" presId="urn:microsoft.com/office/officeart/2005/8/layout/orgChart1"/>
    <dgm:cxn modelId="{A18C7C20-DDAA-C542-B665-BB931B1B6305}" type="presParOf" srcId="{624DD1AB-33F3-6B43-A832-65560BB8C9B0}" destId="{0CBB1AB1-ADC0-DA4B-8167-24B707B383A1}" srcOrd="2" destOrd="0" presId="urn:microsoft.com/office/officeart/2005/8/layout/orgChart1"/>
    <dgm:cxn modelId="{5F28C579-04B4-1A45-838D-377D78C98711}" type="presParOf" srcId="{92EB7E14-4B8E-4D12-9726-50A902018361}" destId="{13CF1539-2F8C-AB4C-8508-9DFAAD0FBFF8}" srcOrd="6" destOrd="0" presId="urn:microsoft.com/office/officeart/2005/8/layout/orgChart1"/>
    <dgm:cxn modelId="{63AFD01E-85F7-6043-A1E5-388A6CA1B182}" type="presParOf" srcId="{92EB7E14-4B8E-4D12-9726-50A902018361}" destId="{D8ECA23F-B461-D649-AF65-6F4ACBFFCE36}" srcOrd="7" destOrd="0" presId="urn:microsoft.com/office/officeart/2005/8/layout/orgChart1"/>
    <dgm:cxn modelId="{BFD98834-FCD4-114D-9B7B-C418678190EF}" type="presParOf" srcId="{D8ECA23F-B461-D649-AF65-6F4ACBFFCE36}" destId="{D2A0F707-E05B-F248-83DD-8EF171028404}" srcOrd="0" destOrd="0" presId="urn:microsoft.com/office/officeart/2005/8/layout/orgChart1"/>
    <dgm:cxn modelId="{D4722C12-2707-B642-A3D5-A16A2B8530D0}" type="presParOf" srcId="{D2A0F707-E05B-F248-83DD-8EF171028404}" destId="{61F43B20-553D-AF4A-8C89-61E935B220B5}" srcOrd="0" destOrd="0" presId="urn:microsoft.com/office/officeart/2005/8/layout/orgChart1"/>
    <dgm:cxn modelId="{8462F2AA-6AF5-914D-94C5-5F48635366BC}" type="presParOf" srcId="{D2A0F707-E05B-F248-83DD-8EF171028404}" destId="{6509CC11-8502-DC4F-B953-E5C41FC668B3}" srcOrd="1" destOrd="0" presId="urn:microsoft.com/office/officeart/2005/8/layout/orgChart1"/>
    <dgm:cxn modelId="{9EE5A25E-E196-654D-AEE8-94DCA108004C}" type="presParOf" srcId="{D8ECA23F-B461-D649-AF65-6F4ACBFFCE36}" destId="{E74BD2C6-177D-F74F-8AB7-09D119CA6842}" srcOrd="1" destOrd="0" presId="urn:microsoft.com/office/officeart/2005/8/layout/orgChart1"/>
    <dgm:cxn modelId="{D2D7C57B-0D36-8248-85DE-06C825C1DCE1}" type="presParOf" srcId="{D8ECA23F-B461-D649-AF65-6F4ACBFFCE36}" destId="{9B862561-4DA2-0B44-8330-3C463BB00F19}" srcOrd="2" destOrd="0" presId="urn:microsoft.com/office/officeart/2005/8/layout/orgChart1"/>
    <dgm:cxn modelId="{237D656D-4541-8F41-8ABF-A65B151E0D2C}" type="presParOf" srcId="{92EB7E14-4B8E-4D12-9726-50A902018361}" destId="{47A2461A-8265-824A-8152-3DAE0E300CAD}" srcOrd="8" destOrd="0" presId="urn:microsoft.com/office/officeart/2005/8/layout/orgChart1"/>
    <dgm:cxn modelId="{375A3E78-858C-A04D-A77D-9DB1F77420F5}" type="presParOf" srcId="{92EB7E14-4B8E-4D12-9726-50A902018361}" destId="{EF978A6C-624C-524E-8800-118C4CE24F3A}" srcOrd="9" destOrd="0" presId="urn:microsoft.com/office/officeart/2005/8/layout/orgChart1"/>
    <dgm:cxn modelId="{4AAC8E27-882A-CA4E-9733-E294527A0F30}" type="presParOf" srcId="{EF978A6C-624C-524E-8800-118C4CE24F3A}" destId="{09EA7C34-4FBC-024D-90FC-069B65271109}" srcOrd="0" destOrd="0" presId="urn:microsoft.com/office/officeart/2005/8/layout/orgChart1"/>
    <dgm:cxn modelId="{AB2FA9F1-FDAB-4F46-9614-0985D1CAD4EA}" type="presParOf" srcId="{09EA7C34-4FBC-024D-90FC-069B65271109}" destId="{B32DBBF2-52B3-7846-9A58-35895A8927A8}" srcOrd="0" destOrd="0" presId="urn:microsoft.com/office/officeart/2005/8/layout/orgChart1"/>
    <dgm:cxn modelId="{22F85BCE-C41C-5047-B5B6-81F6525B079B}" type="presParOf" srcId="{09EA7C34-4FBC-024D-90FC-069B65271109}" destId="{378504E3-4F07-4E46-9539-1F44746872F6}" srcOrd="1" destOrd="0" presId="urn:microsoft.com/office/officeart/2005/8/layout/orgChart1"/>
    <dgm:cxn modelId="{F78D8046-D7D9-3640-8D45-FA8C44E358CF}" type="presParOf" srcId="{EF978A6C-624C-524E-8800-118C4CE24F3A}" destId="{60DF4965-8CC6-0043-BB9C-615AAFD9C83C}" srcOrd="1" destOrd="0" presId="urn:microsoft.com/office/officeart/2005/8/layout/orgChart1"/>
    <dgm:cxn modelId="{7E1D175B-4F49-F646-8DB1-CD1DD965A66E}" type="presParOf" srcId="{EF978A6C-624C-524E-8800-118C4CE24F3A}" destId="{FC00F4C9-EAE6-FB44-BF21-4568CC099D75}" srcOrd="2" destOrd="0" presId="urn:microsoft.com/office/officeart/2005/8/layout/orgChart1"/>
    <dgm:cxn modelId="{6ACBFC24-E63E-2C4C-888F-1CDBC9E7755A}" type="presParOf" srcId="{92EB7E14-4B8E-4D12-9726-50A902018361}" destId="{7289BE61-B3BD-F14F-8E98-42746FD3A5DD}" srcOrd="10" destOrd="0" presId="urn:microsoft.com/office/officeart/2005/8/layout/orgChart1"/>
    <dgm:cxn modelId="{E63F5A25-4812-784B-ACA0-7C9B5A413147}" type="presParOf" srcId="{92EB7E14-4B8E-4D12-9726-50A902018361}" destId="{D2FDD744-92DE-774F-8586-71ADAD9F73AD}" srcOrd="11" destOrd="0" presId="urn:microsoft.com/office/officeart/2005/8/layout/orgChart1"/>
    <dgm:cxn modelId="{27BA20CB-A861-7549-A0CE-8B03C2CCA6EF}" type="presParOf" srcId="{D2FDD744-92DE-774F-8586-71ADAD9F73AD}" destId="{AF5127A6-79B6-204F-A747-372814FDCB50}" srcOrd="0" destOrd="0" presId="urn:microsoft.com/office/officeart/2005/8/layout/orgChart1"/>
    <dgm:cxn modelId="{FF6C85C2-FD73-6046-A042-687D98276DE2}" type="presParOf" srcId="{AF5127A6-79B6-204F-A747-372814FDCB50}" destId="{0AB2843F-3672-1E4A-8F53-77F4E7760227}" srcOrd="0" destOrd="0" presId="urn:microsoft.com/office/officeart/2005/8/layout/orgChart1"/>
    <dgm:cxn modelId="{DBCA4837-C674-E646-9ADF-14167388E9DE}" type="presParOf" srcId="{AF5127A6-79B6-204F-A747-372814FDCB50}" destId="{0A7E62F7-D8BC-2F43-8D7B-BF08C90FE700}" srcOrd="1" destOrd="0" presId="urn:microsoft.com/office/officeart/2005/8/layout/orgChart1"/>
    <dgm:cxn modelId="{4918AE41-ADCD-CC40-B995-563CC6792C1C}" type="presParOf" srcId="{D2FDD744-92DE-774F-8586-71ADAD9F73AD}" destId="{857709F1-7289-6545-9C21-1BA53107DBC5}" srcOrd="1" destOrd="0" presId="urn:microsoft.com/office/officeart/2005/8/layout/orgChart1"/>
    <dgm:cxn modelId="{621A0B4B-7517-594C-8B2D-B0BC2CCF4BC3}" type="presParOf" srcId="{D2FDD744-92DE-774F-8586-71ADAD9F73AD}" destId="{DB5F57C0-77C5-F444-9424-2A0278D16CB7}" srcOrd="2" destOrd="0" presId="urn:microsoft.com/office/officeart/2005/8/layout/orgChart1"/>
    <dgm:cxn modelId="{9FD441A7-77C8-C84C-82C3-BF23522B3E24}" type="presParOf" srcId="{92EB7E14-4B8E-4D12-9726-50A902018361}" destId="{13B32C51-947C-834B-B6DA-32A1EA618618}" srcOrd="12" destOrd="0" presId="urn:microsoft.com/office/officeart/2005/8/layout/orgChart1"/>
    <dgm:cxn modelId="{12EFA984-031D-5344-B034-CB028EC8F4C9}" type="presParOf" srcId="{92EB7E14-4B8E-4D12-9726-50A902018361}" destId="{5EB3BBD0-27F0-0C46-8D1A-8C70B2D1DE66}" srcOrd="13" destOrd="0" presId="urn:microsoft.com/office/officeart/2005/8/layout/orgChart1"/>
    <dgm:cxn modelId="{61A88010-6F16-D448-AC50-8CC2D040C88E}" type="presParOf" srcId="{5EB3BBD0-27F0-0C46-8D1A-8C70B2D1DE66}" destId="{06777224-1AA3-DB45-A405-882761C21E40}" srcOrd="0" destOrd="0" presId="urn:microsoft.com/office/officeart/2005/8/layout/orgChart1"/>
    <dgm:cxn modelId="{D3BA9213-FAAF-D14A-BB45-33509A3390DB}" type="presParOf" srcId="{06777224-1AA3-DB45-A405-882761C21E40}" destId="{8F874AF9-5271-4548-82C0-6079FB7D327C}" srcOrd="0" destOrd="0" presId="urn:microsoft.com/office/officeart/2005/8/layout/orgChart1"/>
    <dgm:cxn modelId="{24D87039-ACCA-F44F-8198-F1A32DCEC62A}" type="presParOf" srcId="{06777224-1AA3-DB45-A405-882761C21E40}" destId="{83FEF479-E584-B648-85C1-22FABC4CBC6F}" srcOrd="1" destOrd="0" presId="urn:microsoft.com/office/officeart/2005/8/layout/orgChart1"/>
    <dgm:cxn modelId="{61060D6D-DE66-A145-8683-D2CDEF44BFF5}" type="presParOf" srcId="{5EB3BBD0-27F0-0C46-8D1A-8C70B2D1DE66}" destId="{6CA18610-FB64-8940-8BA8-FF6B5CD9ED12}" srcOrd="1" destOrd="0" presId="urn:microsoft.com/office/officeart/2005/8/layout/orgChart1"/>
    <dgm:cxn modelId="{D1ECDD7F-3619-9E4B-82CB-1E768668F1C6}" type="presParOf" srcId="{5EB3BBD0-27F0-0C46-8D1A-8C70B2D1DE66}" destId="{0DF5FF04-A7DE-7347-8135-CE6E249697E0}" srcOrd="2" destOrd="0" presId="urn:microsoft.com/office/officeart/2005/8/layout/orgChart1"/>
    <dgm:cxn modelId="{B39E70E5-0B7E-A246-9ED2-48378391EEF9}" type="presParOf" srcId="{92EB7E14-4B8E-4D12-9726-50A902018361}" destId="{E45C132A-4887-4443-A4AC-9E6D46E51F58}" srcOrd="14" destOrd="0" presId="urn:microsoft.com/office/officeart/2005/8/layout/orgChart1"/>
    <dgm:cxn modelId="{5D728073-222E-DE40-9AF5-35EBD97409AA}" type="presParOf" srcId="{92EB7E14-4B8E-4D12-9726-50A902018361}" destId="{ACDAB970-CA24-AD41-A6D6-6DB14FBE11DA}" srcOrd="15" destOrd="0" presId="urn:microsoft.com/office/officeart/2005/8/layout/orgChart1"/>
    <dgm:cxn modelId="{31A0F0A6-B6BE-654B-A24A-CF4FA6B8179A}" type="presParOf" srcId="{ACDAB970-CA24-AD41-A6D6-6DB14FBE11DA}" destId="{20502F4B-58CD-4E49-8170-1A271ECA7205}" srcOrd="0" destOrd="0" presId="urn:microsoft.com/office/officeart/2005/8/layout/orgChart1"/>
    <dgm:cxn modelId="{8340580A-36C3-FE42-B697-801557A2585A}" type="presParOf" srcId="{20502F4B-58CD-4E49-8170-1A271ECA7205}" destId="{4AEBF024-B1DB-3C4C-952E-4A19295FF657}" srcOrd="0" destOrd="0" presId="urn:microsoft.com/office/officeart/2005/8/layout/orgChart1"/>
    <dgm:cxn modelId="{C98323E4-DE70-6E4B-8C91-35B470B672E3}" type="presParOf" srcId="{20502F4B-58CD-4E49-8170-1A271ECA7205}" destId="{950A15D2-E087-0242-93DD-3720A8C15C8C}" srcOrd="1" destOrd="0" presId="urn:microsoft.com/office/officeart/2005/8/layout/orgChart1"/>
    <dgm:cxn modelId="{724F5ECE-9F19-7148-91BB-D0502099C36B}" type="presParOf" srcId="{ACDAB970-CA24-AD41-A6D6-6DB14FBE11DA}" destId="{6160F533-1553-454D-81C6-9209FC9D5EA9}" srcOrd="1" destOrd="0" presId="urn:microsoft.com/office/officeart/2005/8/layout/orgChart1"/>
    <dgm:cxn modelId="{5D6FF2A9-D389-F440-9053-210C1BDCD2D2}" type="presParOf" srcId="{ACDAB970-CA24-AD41-A6D6-6DB14FBE11DA}" destId="{C4CC75CF-E493-E44E-9ED5-981823667257}" srcOrd="2" destOrd="0" presId="urn:microsoft.com/office/officeart/2005/8/layout/orgChart1"/>
    <dgm:cxn modelId="{F6E68801-B0BE-46DB-8342-F2665DE3E687}" type="presParOf" srcId="{39AC9FCB-9A57-45DF-9880-BCD79BB57B77}" destId="{C099313C-1079-4B20-A056-4181A8B437CC}" srcOrd="2" destOrd="0" presId="urn:microsoft.com/office/officeart/2005/8/layout/orgChart1"/>
    <dgm:cxn modelId="{B918038B-0E49-4B8E-A9A2-3D54EA5F9C2E}" type="presParOf" srcId="{1F44325C-7C70-4307-96C4-EF2BCC9B5044}" destId="{CC17F672-5E04-48BF-AA11-D70CDBC16B2B}" srcOrd="2" destOrd="0" presId="urn:microsoft.com/office/officeart/2005/8/layout/orgChart1"/>
    <dgm:cxn modelId="{D55D5032-1480-404B-90B2-59674F248EC7}" type="presParOf" srcId="{1F44325C-7C70-4307-96C4-EF2BCC9B5044}" destId="{2072CB3E-7D37-4D0D-9608-296CC463DD56}" srcOrd="3" destOrd="0" presId="urn:microsoft.com/office/officeart/2005/8/layout/orgChart1"/>
    <dgm:cxn modelId="{488DF428-4954-4D29-B062-F5A1735BBD7D}" type="presParOf" srcId="{2072CB3E-7D37-4D0D-9608-296CC463DD56}" destId="{52DBC126-B955-4D5C-9D31-8086F51BDD70}" srcOrd="0" destOrd="0" presId="urn:microsoft.com/office/officeart/2005/8/layout/orgChart1"/>
    <dgm:cxn modelId="{7BDAE897-D594-4D36-86BB-E3793A1097F0}" type="presParOf" srcId="{52DBC126-B955-4D5C-9D31-8086F51BDD70}" destId="{1F130361-C562-4338-AA13-1BFAF21F89FB}" srcOrd="0" destOrd="0" presId="urn:microsoft.com/office/officeart/2005/8/layout/orgChart1"/>
    <dgm:cxn modelId="{B03EE55A-4E9D-418A-83B0-ADB88A6A5C54}" type="presParOf" srcId="{52DBC126-B955-4D5C-9D31-8086F51BDD70}" destId="{CBF8C2E8-E750-4D19-B5B1-0AE103067AF5}" srcOrd="1" destOrd="0" presId="urn:microsoft.com/office/officeart/2005/8/layout/orgChart1"/>
    <dgm:cxn modelId="{F173ABBC-FFA8-4792-B29E-D7CDAE21A848}" type="presParOf" srcId="{2072CB3E-7D37-4D0D-9608-296CC463DD56}" destId="{999D8307-EE90-4B4E-A0A7-8C3A05F72BB0}" srcOrd="1" destOrd="0" presId="urn:microsoft.com/office/officeart/2005/8/layout/orgChart1"/>
    <dgm:cxn modelId="{E3DF5106-8DDC-9D44-999D-E76FFC729B41}" type="presParOf" srcId="{999D8307-EE90-4B4E-A0A7-8C3A05F72BB0}" destId="{1B6ABAB3-2433-D744-AA94-01ACA22D0DBC}" srcOrd="0" destOrd="0" presId="urn:microsoft.com/office/officeart/2005/8/layout/orgChart1"/>
    <dgm:cxn modelId="{99F32DA0-F505-9648-BE47-2332404B6D81}" type="presParOf" srcId="{999D8307-EE90-4B4E-A0A7-8C3A05F72BB0}" destId="{1286413A-1AFB-5441-8FA6-B46DEC14347F}" srcOrd="1" destOrd="0" presId="urn:microsoft.com/office/officeart/2005/8/layout/orgChart1"/>
    <dgm:cxn modelId="{F4AF2BD1-2334-AA47-877B-9A4F1A105DDF}" type="presParOf" srcId="{1286413A-1AFB-5441-8FA6-B46DEC14347F}" destId="{019E1554-98F7-9542-8D41-BAC6C91E6D9F}" srcOrd="0" destOrd="0" presId="urn:microsoft.com/office/officeart/2005/8/layout/orgChart1"/>
    <dgm:cxn modelId="{86C09379-384B-2642-B4F4-0989FBA5DF26}" type="presParOf" srcId="{019E1554-98F7-9542-8D41-BAC6C91E6D9F}" destId="{D1BC4318-905E-AC4E-B2B6-0ADFB83D395D}" srcOrd="0" destOrd="0" presId="urn:microsoft.com/office/officeart/2005/8/layout/orgChart1"/>
    <dgm:cxn modelId="{FE6D459D-1B22-4D42-AC26-2E655AB0545A}" type="presParOf" srcId="{019E1554-98F7-9542-8D41-BAC6C91E6D9F}" destId="{7B24ED59-5973-E64D-A78D-A3E3166F399B}" srcOrd="1" destOrd="0" presId="urn:microsoft.com/office/officeart/2005/8/layout/orgChart1"/>
    <dgm:cxn modelId="{BFD9397A-7964-F44F-8C71-6DE531543D1B}" type="presParOf" srcId="{1286413A-1AFB-5441-8FA6-B46DEC14347F}" destId="{34238941-07E9-0942-B60C-12D8C02A68A1}" srcOrd="1" destOrd="0" presId="urn:microsoft.com/office/officeart/2005/8/layout/orgChart1"/>
    <dgm:cxn modelId="{27486AF5-A1CF-1448-ABF8-53B8A555AD9C}" type="presParOf" srcId="{1286413A-1AFB-5441-8FA6-B46DEC14347F}" destId="{CB70287F-6817-514D-8FFC-0C9AC8C8D88B}" srcOrd="2" destOrd="0" presId="urn:microsoft.com/office/officeart/2005/8/layout/orgChart1"/>
    <dgm:cxn modelId="{D93889D2-A7BF-134E-814B-CC615B1677F6}" type="presParOf" srcId="{999D8307-EE90-4B4E-A0A7-8C3A05F72BB0}" destId="{67B65A7B-2D16-C34F-9120-0F0A5E2B93A4}" srcOrd="2" destOrd="0" presId="urn:microsoft.com/office/officeart/2005/8/layout/orgChart1"/>
    <dgm:cxn modelId="{C137AFD4-02F6-D84B-8BB9-4B9432CCAC92}" type="presParOf" srcId="{999D8307-EE90-4B4E-A0A7-8C3A05F72BB0}" destId="{63C6748B-3791-C644-BF8E-544907CC6DBE}" srcOrd="3" destOrd="0" presId="urn:microsoft.com/office/officeart/2005/8/layout/orgChart1"/>
    <dgm:cxn modelId="{385A5FA3-A02D-7B4B-8B80-7A87E69B9C81}" type="presParOf" srcId="{63C6748B-3791-C644-BF8E-544907CC6DBE}" destId="{0BF63BAA-6F15-1E40-9803-2F1598FF85FA}" srcOrd="0" destOrd="0" presId="urn:microsoft.com/office/officeart/2005/8/layout/orgChart1"/>
    <dgm:cxn modelId="{E7058FC8-1E91-CD4C-9DC5-9E6048070F57}" type="presParOf" srcId="{0BF63BAA-6F15-1E40-9803-2F1598FF85FA}" destId="{7D069778-6578-DA4C-884E-8B054A8829A9}" srcOrd="0" destOrd="0" presId="urn:microsoft.com/office/officeart/2005/8/layout/orgChart1"/>
    <dgm:cxn modelId="{69D546C1-E48D-0345-8B2F-DA8340888DA5}" type="presParOf" srcId="{0BF63BAA-6F15-1E40-9803-2F1598FF85FA}" destId="{6FC7C6F0-69D2-8B43-9202-FEBC427796E7}" srcOrd="1" destOrd="0" presId="urn:microsoft.com/office/officeart/2005/8/layout/orgChart1"/>
    <dgm:cxn modelId="{6E0048A2-9122-ED44-A7F8-525D710B4609}" type="presParOf" srcId="{63C6748B-3791-C644-BF8E-544907CC6DBE}" destId="{FEF06C20-65EF-B64B-9642-69305967CE09}" srcOrd="1" destOrd="0" presId="urn:microsoft.com/office/officeart/2005/8/layout/orgChart1"/>
    <dgm:cxn modelId="{99BACFC7-B952-FE49-AFCD-054BC125672F}" type="presParOf" srcId="{63C6748B-3791-C644-BF8E-544907CC6DBE}" destId="{CAEE2C52-65E1-2B4A-B7F9-092102388284}" srcOrd="2" destOrd="0" presId="urn:microsoft.com/office/officeart/2005/8/layout/orgChart1"/>
    <dgm:cxn modelId="{548A8543-6A44-D74F-8412-94B02D97AFC9}" type="presParOf" srcId="{999D8307-EE90-4B4E-A0A7-8C3A05F72BB0}" destId="{87E1F72E-DC7E-E34A-ACDF-263ABEF71440}" srcOrd="4" destOrd="0" presId="urn:microsoft.com/office/officeart/2005/8/layout/orgChart1"/>
    <dgm:cxn modelId="{CDB4A3E4-93FA-914F-8330-057D3BB33D0F}" type="presParOf" srcId="{999D8307-EE90-4B4E-A0A7-8C3A05F72BB0}" destId="{69BD9727-9009-004A-967D-F3328FF6EC6B}" srcOrd="5" destOrd="0" presId="urn:microsoft.com/office/officeart/2005/8/layout/orgChart1"/>
    <dgm:cxn modelId="{46796DBF-67B2-894C-88A7-400EE6464CD5}" type="presParOf" srcId="{69BD9727-9009-004A-967D-F3328FF6EC6B}" destId="{2A0E825E-DAB1-2F40-89DD-BCEE6C572857}" srcOrd="0" destOrd="0" presId="urn:microsoft.com/office/officeart/2005/8/layout/orgChart1"/>
    <dgm:cxn modelId="{70BB7F98-61AE-9545-BE7C-4BAFAB008C6D}" type="presParOf" srcId="{2A0E825E-DAB1-2F40-89DD-BCEE6C572857}" destId="{F1BA0469-C817-3F46-9D4F-0EEBF27F2224}" srcOrd="0" destOrd="0" presId="urn:microsoft.com/office/officeart/2005/8/layout/orgChart1"/>
    <dgm:cxn modelId="{236B8F78-1317-F54C-8096-3745376E0CF4}" type="presParOf" srcId="{2A0E825E-DAB1-2F40-89DD-BCEE6C572857}" destId="{8B669FC3-AEB7-B744-ABB1-E2EB1C3228B0}" srcOrd="1" destOrd="0" presId="urn:microsoft.com/office/officeart/2005/8/layout/orgChart1"/>
    <dgm:cxn modelId="{D171865C-A23A-2747-9F86-ADB8D5086671}" type="presParOf" srcId="{69BD9727-9009-004A-967D-F3328FF6EC6B}" destId="{AA279929-9222-AC45-BACF-1A1B69632285}" srcOrd="1" destOrd="0" presId="urn:microsoft.com/office/officeart/2005/8/layout/orgChart1"/>
    <dgm:cxn modelId="{74F477EA-DE10-2B4B-A386-134784D9E059}" type="presParOf" srcId="{69BD9727-9009-004A-967D-F3328FF6EC6B}" destId="{2FDCFC15-E8B3-704A-8EFF-3B8D707CCD9E}" srcOrd="2" destOrd="0" presId="urn:microsoft.com/office/officeart/2005/8/layout/orgChart1"/>
    <dgm:cxn modelId="{A6CCFBAC-DCAB-40A7-A01D-96E040648CD6}" type="presParOf" srcId="{2072CB3E-7D37-4D0D-9608-296CC463DD56}" destId="{F826941E-6AAF-48C1-8F73-8E1C839C3370}" srcOrd="2" destOrd="0" presId="urn:microsoft.com/office/officeart/2005/8/layout/orgChart1"/>
    <dgm:cxn modelId="{75943191-3CC8-49BB-BD44-AED6BB60D444}" type="presParOf" srcId="{1F44325C-7C70-4307-96C4-EF2BCC9B5044}" destId="{D5626411-E192-4774-A1DA-2FEDEE423372}" srcOrd="4" destOrd="0" presId="urn:microsoft.com/office/officeart/2005/8/layout/orgChart1"/>
    <dgm:cxn modelId="{CCA1DDA3-8A30-43BF-95F7-7E7837EF3724}" type="presParOf" srcId="{1F44325C-7C70-4307-96C4-EF2BCC9B5044}" destId="{F33F62BB-981E-4802-AAFC-67DBB5A847CF}" srcOrd="5" destOrd="0" presId="urn:microsoft.com/office/officeart/2005/8/layout/orgChart1"/>
    <dgm:cxn modelId="{8344B468-CA1C-4F60-BBB5-9168A1DCC8EA}" type="presParOf" srcId="{F33F62BB-981E-4802-AAFC-67DBB5A847CF}" destId="{06332F5E-18FF-496D-8ABA-191C9F80B223}" srcOrd="0" destOrd="0" presId="urn:microsoft.com/office/officeart/2005/8/layout/orgChart1"/>
    <dgm:cxn modelId="{C00233E0-E002-4C60-904A-3719BF8AAE5A}" type="presParOf" srcId="{06332F5E-18FF-496D-8ABA-191C9F80B223}" destId="{F3E2C4B2-C746-40D9-A9D6-AC7E41CF72A8}" srcOrd="0" destOrd="0" presId="urn:microsoft.com/office/officeart/2005/8/layout/orgChart1"/>
    <dgm:cxn modelId="{3AFFBAD0-5FDC-4DB7-A8A3-5BDA5074A52F}" type="presParOf" srcId="{06332F5E-18FF-496D-8ABA-191C9F80B223}" destId="{DEEC3C2D-5A3B-4869-A53A-17C7C3272BEB}" srcOrd="1" destOrd="0" presId="urn:microsoft.com/office/officeart/2005/8/layout/orgChart1"/>
    <dgm:cxn modelId="{437A71AE-C445-47FF-BF1A-F3BBEE7C76B2}" type="presParOf" srcId="{F33F62BB-981E-4802-AAFC-67DBB5A847CF}" destId="{B401EABF-310B-4F6F-A102-C017062A2E03}" srcOrd="1" destOrd="0" presId="urn:microsoft.com/office/officeart/2005/8/layout/orgChart1"/>
    <dgm:cxn modelId="{8B4249E0-D045-1C45-800A-A47035349544}" type="presParOf" srcId="{B401EABF-310B-4F6F-A102-C017062A2E03}" destId="{B05517A1-728E-E043-92FC-303D08ADB907}" srcOrd="0" destOrd="0" presId="urn:microsoft.com/office/officeart/2005/8/layout/orgChart1"/>
    <dgm:cxn modelId="{3F5CAAA6-9766-ED41-BF22-3CE40C0552E1}" type="presParOf" srcId="{B401EABF-310B-4F6F-A102-C017062A2E03}" destId="{F23A50C4-FAD0-E14E-834F-092A03EA20EA}" srcOrd="1" destOrd="0" presId="urn:microsoft.com/office/officeart/2005/8/layout/orgChart1"/>
    <dgm:cxn modelId="{009A5B21-0942-9746-ABCF-A81E079635CB}" type="presParOf" srcId="{F23A50C4-FAD0-E14E-834F-092A03EA20EA}" destId="{CEA8D323-2864-F148-B831-41C05DD84E38}" srcOrd="0" destOrd="0" presId="urn:microsoft.com/office/officeart/2005/8/layout/orgChart1"/>
    <dgm:cxn modelId="{4ABAAD40-4C22-B543-8658-82345E827DD7}" type="presParOf" srcId="{CEA8D323-2864-F148-B831-41C05DD84E38}" destId="{E52D6E3D-849F-6B46-B551-5EBBF81FC80F}" srcOrd="0" destOrd="0" presId="urn:microsoft.com/office/officeart/2005/8/layout/orgChart1"/>
    <dgm:cxn modelId="{32F7F09F-5C8E-A742-81CD-29B7907F0BA9}" type="presParOf" srcId="{CEA8D323-2864-F148-B831-41C05DD84E38}" destId="{EC59D19B-7C2D-6944-8320-524E9CDA67E1}" srcOrd="1" destOrd="0" presId="urn:microsoft.com/office/officeart/2005/8/layout/orgChart1"/>
    <dgm:cxn modelId="{7F62B214-659F-7E41-8920-211C1C2A77C8}" type="presParOf" srcId="{F23A50C4-FAD0-E14E-834F-092A03EA20EA}" destId="{8A402B0C-70BA-2C4E-B401-4D47C787AB1F}" srcOrd="1" destOrd="0" presId="urn:microsoft.com/office/officeart/2005/8/layout/orgChart1"/>
    <dgm:cxn modelId="{7807DABA-1BFB-A841-9761-D89B9628D285}" type="presParOf" srcId="{F23A50C4-FAD0-E14E-834F-092A03EA20EA}" destId="{C07280F3-0A3F-844C-9250-84C1AACCCD56}" srcOrd="2" destOrd="0" presId="urn:microsoft.com/office/officeart/2005/8/layout/orgChart1"/>
    <dgm:cxn modelId="{E9E44414-33DD-5240-8E5D-212ACABBA45D}" type="presParOf" srcId="{B401EABF-310B-4F6F-A102-C017062A2E03}" destId="{AF5715AC-23EB-784C-A9E7-1C318CA8E2E0}" srcOrd="2" destOrd="0" presId="urn:microsoft.com/office/officeart/2005/8/layout/orgChart1"/>
    <dgm:cxn modelId="{2A161658-192F-4940-9F72-137A543B5E3B}" type="presParOf" srcId="{B401EABF-310B-4F6F-A102-C017062A2E03}" destId="{78042D58-2304-954A-B666-1EE493E09BA8}" srcOrd="3" destOrd="0" presId="urn:microsoft.com/office/officeart/2005/8/layout/orgChart1"/>
    <dgm:cxn modelId="{DB8B12D6-3C94-6947-B30B-C5288F851429}" type="presParOf" srcId="{78042D58-2304-954A-B666-1EE493E09BA8}" destId="{715E0C7D-5D1D-1442-94CD-BF654EBE11AF}" srcOrd="0" destOrd="0" presId="urn:microsoft.com/office/officeart/2005/8/layout/orgChart1"/>
    <dgm:cxn modelId="{B49E3056-D4BB-8C4A-89E1-76B7B5B803B8}" type="presParOf" srcId="{715E0C7D-5D1D-1442-94CD-BF654EBE11AF}" destId="{3A4A794C-E568-AD4B-8596-BC5FC7E88D69}" srcOrd="0" destOrd="0" presId="urn:microsoft.com/office/officeart/2005/8/layout/orgChart1"/>
    <dgm:cxn modelId="{F3E7855E-002D-954D-B7EE-D8C12D7A8C41}" type="presParOf" srcId="{715E0C7D-5D1D-1442-94CD-BF654EBE11AF}" destId="{B476F93F-479B-E444-8D24-A8893BCF63BF}" srcOrd="1" destOrd="0" presId="urn:microsoft.com/office/officeart/2005/8/layout/orgChart1"/>
    <dgm:cxn modelId="{7876D01A-097F-AC4F-BAA4-34ABE4B7A0D5}" type="presParOf" srcId="{78042D58-2304-954A-B666-1EE493E09BA8}" destId="{E9EE88A9-FC3E-494E-A977-FDC17BCE41F6}" srcOrd="1" destOrd="0" presId="urn:microsoft.com/office/officeart/2005/8/layout/orgChart1"/>
    <dgm:cxn modelId="{77CA9239-4F72-0C4B-9F76-FA23704D0F45}" type="presParOf" srcId="{78042D58-2304-954A-B666-1EE493E09BA8}" destId="{A699E2C7-57B9-584B-AD91-6370F7011DCA}" srcOrd="2" destOrd="0" presId="urn:microsoft.com/office/officeart/2005/8/layout/orgChart1"/>
    <dgm:cxn modelId="{FAFB7607-610A-8743-AA44-A37D2B618A21}" type="presParOf" srcId="{B401EABF-310B-4F6F-A102-C017062A2E03}" destId="{5D40542B-50B3-2141-BC97-74A112143A32}" srcOrd="4" destOrd="0" presId="urn:microsoft.com/office/officeart/2005/8/layout/orgChart1"/>
    <dgm:cxn modelId="{99CCDEF3-9C54-C94C-B1F6-A401A4E6C17F}" type="presParOf" srcId="{B401EABF-310B-4F6F-A102-C017062A2E03}" destId="{730CEEF0-7DE5-904A-AF03-73BA552241F1}" srcOrd="5" destOrd="0" presId="urn:microsoft.com/office/officeart/2005/8/layout/orgChart1"/>
    <dgm:cxn modelId="{242DE95A-737A-F642-9FB3-B37FDCE13315}" type="presParOf" srcId="{730CEEF0-7DE5-904A-AF03-73BA552241F1}" destId="{87FF3FBD-64E4-EB48-8CDC-0E50B211FEE5}" srcOrd="0" destOrd="0" presId="urn:microsoft.com/office/officeart/2005/8/layout/orgChart1"/>
    <dgm:cxn modelId="{48FEAB93-9906-2447-BED5-53AFFCA7AB12}" type="presParOf" srcId="{87FF3FBD-64E4-EB48-8CDC-0E50B211FEE5}" destId="{8D6DFEA6-B5C8-7A4C-8CDE-65EE3F99830F}" srcOrd="0" destOrd="0" presId="urn:microsoft.com/office/officeart/2005/8/layout/orgChart1"/>
    <dgm:cxn modelId="{4EDD1597-5AB9-EE41-960F-55F299B584E9}" type="presParOf" srcId="{87FF3FBD-64E4-EB48-8CDC-0E50B211FEE5}" destId="{27882F9C-9FF1-BC41-8AB3-E3FDCE6F9B64}" srcOrd="1" destOrd="0" presId="urn:microsoft.com/office/officeart/2005/8/layout/orgChart1"/>
    <dgm:cxn modelId="{76977445-D907-1841-9676-D56794B1ED17}" type="presParOf" srcId="{730CEEF0-7DE5-904A-AF03-73BA552241F1}" destId="{952E0C67-CF9A-9040-8A61-CA14F57A0493}" srcOrd="1" destOrd="0" presId="urn:microsoft.com/office/officeart/2005/8/layout/orgChart1"/>
    <dgm:cxn modelId="{A24D9F1F-25FC-9240-BA40-5C48D8223E05}" type="presParOf" srcId="{730CEEF0-7DE5-904A-AF03-73BA552241F1}" destId="{E3AD572C-EC6A-0842-9180-8095876AF2AA}" srcOrd="2" destOrd="0" presId="urn:microsoft.com/office/officeart/2005/8/layout/orgChart1"/>
    <dgm:cxn modelId="{39331959-DAE2-47A9-8BE4-196E1969A2E6}" type="presParOf" srcId="{F33F62BB-981E-4802-AAFC-67DBB5A847CF}" destId="{ABEF3F17-5DEF-4B04-AF3C-0A47636C1229}" srcOrd="2" destOrd="0" presId="urn:microsoft.com/office/officeart/2005/8/layout/orgChart1"/>
    <dgm:cxn modelId="{E5763D66-208B-DC4E-B156-4BA8B19965A0}" type="presParOf" srcId="{1F44325C-7C70-4307-96C4-EF2BCC9B5044}" destId="{8E6E189D-394C-A541-9D57-75605C4D2C0A}" srcOrd="6" destOrd="0" presId="urn:microsoft.com/office/officeart/2005/8/layout/orgChart1"/>
    <dgm:cxn modelId="{0F29E3C2-BC17-E148-BDE7-5432ECAE7506}" type="presParOf" srcId="{1F44325C-7C70-4307-96C4-EF2BCC9B5044}" destId="{6309049D-8B1B-8B4F-B741-4DE400DF5488}" srcOrd="7" destOrd="0" presId="urn:microsoft.com/office/officeart/2005/8/layout/orgChart1"/>
    <dgm:cxn modelId="{392070E6-FBFA-3743-A9E3-FB81DF9DCA8B}" type="presParOf" srcId="{6309049D-8B1B-8B4F-B741-4DE400DF5488}" destId="{F1883388-252F-AA4D-84E0-9060A0F6DD99}" srcOrd="0" destOrd="0" presId="urn:microsoft.com/office/officeart/2005/8/layout/orgChart1"/>
    <dgm:cxn modelId="{59EE932E-2816-AE48-A8AA-35A721B05D2F}" type="presParOf" srcId="{F1883388-252F-AA4D-84E0-9060A0F6DD99}" destId="{BCA5D11B-BF5B-2D46-A7AE-77149142F02C}" srcOrd="0" destOrd="0" presId="urn:microsoft.com/office/officeart/2005/8/layout/orgChart1"/>
    <dgm:cxn modelId="{95BAF3B5-BEA1-6B4F-A1E3-1F93FA4E7E5C}" type="presParOf" srcId="{F1883388-252F-AA4D-84E0-9060A0F6DD99}" destId="{F289B5D3-A987-0C4D-A760-B58A210A6BFE}" srcOrd="1" destOrd="0" presId="urn:microsoft.com/office/officeart/2005/8/layout/orgChart1"/>
    <dgm:cxn modelId="{8D7889CC-5DC5-D24D-995A-8ED70FB5C70D}" type="presParOf" srcId="{6309049D-8B1B-8B4F-B741-4DE400DF5488}" destId="{0CFB7698-4F43-3447-8BAD-B72DA0FDB978}" srcOrd="1" destOrd="0" presId="urn:microsoft.com/office/officeart/2005/8/layout/orgChart1"/>
    <dgm:cxn modelId="{1F75C71F-9C4C-204F-9F88-FA4A6FEC8568}" type="presParOf" srcId="{6309049D-8B1B-8B4F-B741-4DE400DF5488}" destId="{0B8CC09B-2B5F-DF4F-B90C-904972B7B030}" srcOrd="2" destOrd="0" presId="urn:microsoft.com/office/officeart/2005/8/layout/orgChart1"/>
    <dgm:cxn modelId="{9329AFCD-6138-0E43-909A-25E235D8EE11}" type="presParOf" srcId="{1F44325C-7C70-4307-96C4-EF2BCC9B5044}" destId="{C752CAAC-7B51-DC4D-8A84-6472FB0B2B18}" srcOrd="8" destOrd="0" presId="urn:microsoft.com/office/officeart/2005/8/layout/orgChart1"/>
    <dgm:cxn modelId="{F06A32A6-9F57-7441-A90E-CDC65BE5DA1D}" type="presParOf" srcId="{1F44325C-7C70-4307-96C4-EF2BCC9B5044}" destId="{DA7EF269-A4D4-6841-9C9C-BE3EA41E7226}" srcOrd="9" destOrd="0" presId="urn:microsoft.com/office/officeart/2005/8/layout/orgChart1"/>
    <dgm:cxn modelId="{577A3444-B8A0-E44E-9897-158A9D476874}" type="presParOf" srcId="{DA7EF269-A4D4-6841-9C9C-BE3EA41E7226}" destId="{68256E86-3634-5646-8A74-B959A7F94B4A}" srcOrd="0" destOrd="0" presId="urn:microsoft.com/office/officeart/2005/8/layout/orgChart1"/>
    <dgm:cxn modelId="{806616D6-07E5-C842-82F0-4016CD52134B}" type="presParOf" srcId="{68256E86-3634-5646-8A74-B959A7F94B4A}" destId="{91F0D91F-6812-C64A-95D2-BD5C91A29C98}" srcOrd="0" destOrd="0" presId="urn:microsoft.com/office/officeart/2005/8/layout/orgChart1"/>
    <dgm:cxn modelId="{BA65427A-8B9B-024C-9238-A58149D8D1ED}" type="presParOf" srcId="{68256E86-3634-5646-8A74-B959A7F94B4A}" destId="{80A1EC55-CE5B-3643-9B7D-C014EAE29C1C}" srcOrd="1" destOrd="0" presId="urn:microsoft.com/office/officeart/2005/8/layout/orgChart1"/>
    <dgm:cxn modelId="{CDFDB47C-E1E2-0545-AE53-E8427B154748}" type="presParOf" srcId="{DA7EF269-A4D4-6841-9C9C-BE3EA41E7226}" destId="{2101A5F3-F4FF-6A41-8038-619E015496B0}" srcOrd="1" destOrd="0" presId="urn:microsoft.com/office/officeart/2005/8/layout/orgChart1"/>
    <dgm:cxn modelId="{A17E242C-962B-6942-8516-1857EB10A47D}" type="presParOf" srcId="{DA7EF269-A4D4-6841-9C9C-BE3EA41E7226}" destId="{216EEC05-BC80-7C4A-AB0C-DA3F7735BC84}" srcOrd="2" destOrd="0" presId="urn:microsoft.com/office/officeart/2005/8/layout/orgChart1"/>
    <dgm:cxn modelId="{0B3BA8E8-4878-0F4A-A70C-907C4AA232AB}" type="presParOf" srcId="{1F44325C-7C70-4307-96C4-EF2BCC9B5044}" destId="{8B4D22E7-0232-7F4A-A8DC-2DA7BE11A9DF}" srcOrd="10" destOrd="0" presId="urn:microsoft.com/office/officeart/2005/8/layout/orgChart1"/>
    <dgm:cxn modelId="{207BEF23-7151-5E4F-8B4F-45CA46FCED24}" type="presParOf" srcId="{1F44325C-7C70-4307-96C4-EF2BCC9B5044}" destId="{E8F0C866-6C63-684B-9ED8-6AD212B71FFB}" srcOrd="11" destOrd="0" presId="urn:microsoft.com/office/officeart/2005/8/layout/orgChart1"/>
    <dgm:cxn modelId="{25F36436-F9E5-AA40-A78C-DFDA9456AF37}" type="presParOf" srcId="{E8F0C866-6C63-684B-9ED8-6AD212B71FFB}" destId="{0CA3D03D-2BCF-1F4E-8D69-EC7C6AD9C8B4}" srcOrd="0" destOrd="0" presId="urn:microsoft.com/office/officeart/2005/8/layout/orgChart1"/>
    <dgm:cxn modelId="{36F6689A-CD71-E24A-9535-6C7010395E61}" type="presParOf" srcId="{0CA3D03D-2BCF-1F4E-8D69-EC7C6AD9C8B4}" destId="{24B2395B-EA0C-8C45-9D2E-C0E0300F269F}" srcOrd="0" destOrd="0" presId="urn:microsoft.com/office/officeart/2005/8/layout/orgChart1"/>
    <dgm:cxn modelId="{21BAD132-160B-9F45-BA38-4781EC5DE67A}" type="presParOf" srcId="{0CA3D03D-2BCF-1F4E-8D69-EC7C6AD9C8B4}" destId="{3366A7D9-92E0-7948-A6C2-5BFF2B2397B6}" srcOrd="1" destOrd="0" presId="urn:microsoft.com/office/officeart/2005/8/layout/orgChart1"/>
    <dgm:cxn modelId="{208FDB5B-EA03-2246-A9AF-4F5139F03F77}" type="presParOf" srcId="{E8F0C866-6C63-684B-9ED8-6AD212B71FFB}" destId="{C206A0A1-B67E-3E44-B346-7B0E14476B6B}" srcOrd="1" destOrd="0" presId="urn:microsoft.com/office/officeart/2005/8/layout/orgChart1"/>
    <dgm:cxn modelId="{624F08C6-C6DC-844F-912C-27462EF8E685}" type="presParOf" srcId="{C206A0A1-B67E-3E44-B346-7B0E14476B6B}" destId="{C7CF70CD-8904-FA43-B2FD-ABAB9A8562BA}" srcOrd="0" destOrd="0" presId="urn:microsoft.com/office/officeart/2005/8/layout/orgChart1"/>
    <dgm:cxn modelId="{37A31744-EEEC-CB4D-9C71-89D0C2D8DF95}" type="presParOf" srcId="{C206A0A1-B67E-3E44-B346-7B0E14476B6B}" destId="{7C1F1E53-6860-184F-8044-EA070F1F3C80}" srcOrd="1" destOrd="0" presId="urn:microsoft.com/office/officeart/2005/8/layout/orgChart1"/>
    <dgm:cxn modelId="{005B82F3-6607-5041-8C52-E5846D95C4AB}" type="presParOf" srcId="{7C1F1E53-6860-184F-8044-EA070F1F3C80}" destId="{55F84C0F-775E-7741-A85F-51EF401C96C9}" srcOrd="0" destOrd="0" presId="urn:microsoft.com/office/officeart/2005/8/layout/orgChart1"/>
    <dgm:cxn modelId="{C76A1889-64F9-8A43-B3F9-601CE38116BD}" type="presParOf" srcId="{55F84C0F-775E-7741-A85F-51EF401C96C9}" destId="{929C6310-CA0C-9146-8824-EF59C5169D50}" srcOrd="0" destOrd="0" presId="urn:microsoft.com/office/officeart/2005/8/layout/orgChart1"/>
    <dgm:cxn modelId="{D8502D21-7927-9243-B52D-2F41CC7B9357}" type="presParOf" srcId="{55F84C0F-775E-7741-A85F-51EF401C96C9}" destId="{5849B928-ABE8-3C4C-93DB-ED185C0B15B2}" srcOrd="1" destOrd="0" presId="urn:microsoft.com/office/officeart/2005/8/layout/orgChart1"/>
    <dgm:cxn modelId="{7BE50941-D2D8-A340-8CB9-8C62A6075492}" type="presParOf" srcId="{7C1F1E53-6860-184F-8044-EA070F1F3C80}" destId="{6CDE8261-0253-4748-B9EB-A4F49EBF9C6C}" srcOrd="1" destOrd="0" presId="urn:microsoft.com/office/officeart/2005/8/layout/orgChart1"/>
    <dgm:cxn modelId="{FF96EA11-9A87-3C4D-BB93-480F697BAB0E}" type="presParOf" srcId="{7C1F1E53-6860-184F-8044-EA070F1F3C80}" destId="{FC10C71C-E063-044C-AF29-8789E728F595}" srcOrd="2" destOrd="0" presId="urn:microsoft.com/office/officeart/2005/8/layout/orgChart1"/>
    <dgm:cxn modelId="{566F40C5-0B64-0749-9DBE-1A8AFE4F0CBB}" type="presParOf" srcId="{C206A0A1-B67E-3E44-B346-7B0E14476B6B}" destId="{4E0B7D25-F8E9-A148-A369-B8658911486D}" srcOrd="2" destOrd="0" presId="urn:microsoft.com/office/officeart/2005/8/layout/orgChart1"/>
    <dgm:cxn modelId="{05AD54F1-B996-7741-A09A-03D6B3411F84}" type="presParOf" srcId="{C206A0A1-B67E-3E44-B346-7B0E14476B6B}" destId="{9027DB7C-5175-B941-BA70-3B81DFDD034C}" srcOrd="3" destOrd="0" presId="urn:microsoft.com/office/officeart/2005/8/layout/orgChart1"/>
    <dgm:cxn modelId="{225EA987-30B9-3C42-A32B-7ADFBEB74A97}" type="presParOf" srcId="{9027DB7C-5175-B941-BA70-3B81DFDD034C}" destId="{F6A1C083-3088-2D49-8E0C-E35147E26C29}" srcOrd="0" destOrd="0" presId="urn:microsoft.com/office/officeart/2005/8/layout/orgChart1"/>
    <dgm:cxn modelId="{94470F78-C47B-B14A-BB4C-F3118821E329}" type="presParOf" srcId="{F6A1C083-3088-2D49-8E0C-E35147E26C29}" destId="{AF7A921C-54EE-6540-B013-8B6D78282F80}" srcOrd="0" destOrd="0" presId="urn:microsoft.com/office/officeart/2005/8/layout/orgChart1"/>
    <dgm:cxn modelId="{10310943-BC44-3441-8AB1-980306FAB27D}" type="presParOf" srcId="{F6A1C083-3088-2D49-8E0C-E35147E26C29}" destId="{6A856006-6A65-C34E-8D3D-BE74280493F4}" srcOrd="1" destOrd="0" presId="urn:microsoft.com/office/officeart/2005/8/layout/orgChart1"/>
    <dgm:cxn modelId="{CD50136C-8501-F343-8715-30B9708437AB}" type="presParOf" srcId="{9027DB7C-5175-B941-BA70-3B81DFDD034C}" destId="{BA7DFA75-EC82-844E-9E5D-C8AD61DB5B42}" srcOrd="1" destOrd="0" presId="urn:microsoft.com/office/officeart/2005/8/layout/orgChart1"/>
    <dgm:cxn modelId="{D6477AC7-3BC0-494A-8F00-E62A08A3D776}" type="presParOf" srcId="{9027DB7C-5175-B941-BA70-3B81DFDD034C}" destId="{C5E8D38C-38FF-3A4B-80FE-732871D376F1}" srcOrd="2" destOrd="0" presId="urn:microsoft.com/office/officeart/2005/8/layout/orgChart1"/>
    <dgm:cxn modelId="{DEE1A2F6-076B-E848-8156-FB1B3FC1EFAE}" type="presParOf" srcId="{E8F0C866-6C63-684B-9ED8-6AD212B71FFB}" destId="{9A0C5148-E29B-334A-ACE1-9FA75084B3EB}" srcOrd="2" destOrd="0" presId="urn:microsoft.com/office/officeart/2005/8/layout/orgChart1"/>
    <dgm:cxn modelId="{BEA9F042-CBB4-4019-B21D-7304C47091BD}" type="presParOf" srcId="{B71878A2-6F55-4F39-B919-44E307D81AFE}" destId="{35E7B6BA-6A42-45A7-B318-A3120417B00E}"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E0B7D25-F8E9-A148-A369-B8658911486D}">
      <dsp:nvSpPr>
        <dsp:cNvPr id="0" name=""/>
        <dsp:cNvSpPr/>
      </dsp:nvSpPr>
      <dsp:spPr>
        <a:xfrm>
          <a:off x="6920389" y="942808"/>
          <a:ext cx="174146" cy="779225"/>
        </a:xfrm>
        <a:custGeom>
          <a:avLst/>
          <a:gdLst/>
          <a:ahLst/>
          <a:cxnLst/>
          <a:rect l="0" t="0" r="0" b="0"/>
          <a:pathLst>
            <a:path>
              <a:moveTo>
                <a:pt x="0" y="0"/>
              </a:moveTo>
              <a:lnTo>
                <a:pt x="0" y="779225"/>
              </a:lnTo>
              <a:lnTo>
                <a:pt x="174146" y="779225"/>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7CF70CD-8904-FA43-B2FD-ABAB9A8562BA}">
      <dsp:nvSpPr>
        <dsp:cNvPr id="0" name=""/>
        <dsp:cNvSpPr/>
      </dsp:nvSpPr>
      <dsp:spPr>
        <a:xfrm>
          <a:off x="6920389" y="942808"/>
          <a:ext cx="169188" cy="306316"/>
        </a:xfrm>
        <a:custGeom>
          <a:avLst/>
          <a:gdLst/>
          <a:ahLst/>
          <a:cxnLst/>
          <a:rect l="0" t="0" r="0" b="0"/>
          <a:pathLst>
            <a:path>
              <a:moveTo>
                <a:pt x="0" y="0"/>
              </a:moveTo>
              <a:lnTo>
                <a:pt x="0" y="306316"/>
              </a:lnTo>
              <a:lnTo>
                <a:pt x="169188" y="306316"/>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4D22E7-0232-7F4A-A8DC-2DA7BE11A9DF}">
      <dsp:nvSpPr>
        <dsp:cNvPr id="0" name=""/>
        <dsp:cNvSpPr/>
      </dsp:nvSpPr>
      <dsp:spPr>
        <a:xfrm>
          <a:off x="3902844" y="369080"/>
          <a:ext cx="3310093" cy="208042"/>
        </a:xfrm>
        <a:custGeom>
          <a:avLst/>
          <a:gdLst/>
          <a:ahLst/>
          <a:cxnLst/>
          <a:rect l="0" t="0" r="0" b="0"/>
          <a:pathLst>
            <a:path>
              <a:moveTo>
                <a:pt x="0" y="0"/>
              </a:moveTo>
              <a:lnTo>
                <a:pt x="0" y="131248"/>
              </a:lnTo>
              <a:lnTo>
                <a:pt x="3310093" y="131248"/>
              </a:lnTo>
              <a:lnTo>
                <a:pt x="3310093" y="208042"/>
              </a:lnTo>
            </a:path>
          </a:pathLst>
        </a:custGeom>
        <a:noFill/>
        <a:ln w="12700" cap="flat" cmpd="sng" algn="ctr">
          <a:solidFill>
            <a:schemeClr val="accent6">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752CAAC-7B51-DC4D-8A84-6472FB0B2B18}">
      <dsp:nvSpPr>
        <dsp:cNvPr id="0" name=""/>
        <dsp:cNvSpPr/>
      </dsp:nvSpPr>
      <dsp:spPr>
        <a:xfrm>
          <a:off x="3902844" y="369080"/>
          <a:ext cx="2441728" cy="216339"/>
        </a:xfrm>
        <a:custGeom>
          <a:avLst/>
          <a:gdLst/>
          <a:ahLst/>
          <a:cxnLst/>
          <a:rect l="0" t="0" r="0" b="0"/>
          <a:pathLst>
            <a:path>
              <a:moveTo>
                <a:pt x="0" y="0"/>
              </a:moveTo>
              <a:lnTo>
                <a:pt x="0" y="139545"/>
              </a:lnTo>
              <a:lnTo>
                <a:pt x="2441728" y="139545"/>
              </a:lnTo>
              <a:lnTo>
                <a:pt x="2441728" y="216339"/>
              </a:lnTo>
            </a:path>
          </a:pathLst>
        </a:custGeom>
        <a:noFill/>
        <a:ln w="12700" cap="flat" cmpd="sng" algn="ctr">
          <a:solidFill>
            <a:schemeClr val="accent6">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E6E189D-394C-A541-9D57-75605C4D2C0A}">
      <dsp:nvSpPr>
        <dsp:cNvPr id="0" name=""/>
        <dsp:cNvSpPr/>
      </dsp:nvSpPr>
      <dsp:spPr>
        <a:xfrm>
          <a:off x="3902844" y="369080"/>
          <a:ext cx="1473641" cy="198885"/>
        </a:xfrm>
        <a:custGeom>
          <a:avLst/>
          <a:gdLst/>
          <a:ahLst/>
          <a:cxnLst/>
          <a:rect l="0" t="0" r="0" b="0"/>
          <a:pathLst>
            <a:path>
              <a:moveTo>
                <a:pt x="0" y="0"/>
              </a:moveTo>
              <a:lnTo>
                <a:pt x="0" y="122091"/>
              </a:lnTo>
              <a:lnTo>
                <a:pt x="1473641" y="122091"/>
              </a:lnTo>
              <a:lnTo>
                <a:pt x="1473641" y="198885"/>
              </a:lnTo>
            </a:path>
          </a:pathLst>
        </a:custGeom>
        <a:noFill/>
        <a:ln w="12700" cap="flat" cmpd="sng" algn="ctr">
          <a:solidFill>
            <a:schemeClr val="accent6">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40542B-50B3-2141-BC97-74A112143A32}">
      <dsp:nvSpPr>
        <dsp:cNvPr id="0" name=""/>
        <dsp:cNvSpPr/>
      </dsp:nvSpPr>
      <dsp:spPr>
        <a:xfrm>
          <a:off x="4003186" y="925116"/>
          <a:ext cx="91440" cy="1179402"/>
        </a:xfrm>
        <a:custGeom>
          <a:avLst/>
          <a:gdLst/>
          <a:ahLst/>
          <a:cxnLst/>
          <a:rect l="0" t="0" r="0" b="0"/>
          <a:pathLst>
            <a:path>
              <a:moveTo>
                <a:pt x="45720" y="0"/>
              </a:moveTo>
              <a:lnTo>
                <a:pt x="45720" y="1179402"/>
              </a:lnTo>
              <a:lnTo>
                <a:pt x="123132" y="1179402"/>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F5715AC-23EB-784C-A9E7-1C318CA8E2E0}">
      <dsp:nvSpPr>
        <dsp:cNvPr id="0" name=""/>
        <dsp:cNvSpPr/>
      </dsp:nvSpPr>
      <dsp:spPr>
        <a:xfrm>
          <a:off x="4003186" y="925116"/>
          <a:ext cx="91440" cy="737219"/>
        </a:xfrm>
        <a:custGeom>
          <a:avLst/>
          <a:gdLst/>
          <a:ahLst/>
          <a:cxnLst/>
          <a:rect l="0" t="0" r="0" b="0"/>
          <a:pathLst>
            <a:path>
              <a:moveTo>
                <a:pt x="45720" y="0"/>
              </a:moveTo>
              <a:lnTo>
                <a:pt x="45720" y="737219"/>
              </a:lnTo>
              <a:lnTo>
                <a:pt x="122949" y="737219"/>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05517A1-728E-E043-92FC-303D08ADB907}">
      <dsp:nvSpPr>
        <dsp:cNvPr id="0" name=""/>
        <dsp:cNvSpPr/>
      </dsp:nvSpPr>
      <dsp:spPr>
        <a:xfrm>
          <a:off x="4003186" y="925116"/>
          <a:ext cx="91440" cy="317883"/>
        </a:xfrm>
        <a:custGeom>
          <a:avLst/>
          <a:gdLst/>
          <a:ahLst/>
          <a:cxnLst/>
          <a:rect l="0" t="0" r="0" b="0"/>
          <a:pathLst>
            <a:path>
              <a:moveTo>
                <a:pt x="45720" y="0"/>
              </a:moveTo>
              <a:lnTo>
                <a:pt x="45720" y="317883"/>
              </a:lnTo>
              <a:lnTo>
                <a:pt x="113609" y="317883"/>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5626411-E192-4774-A1DA-2FEDEE423372}">
      <dsp:nvSpPr>
        <dsp:cNvPr id="0" name=""/>
        <dsp:cNvSpPr/>
      </dsp:nvSpPr>
      <dsp:spPr>
        <a:xfrm>
          <a:off x="3902844" y="369080"/>
          <a:ext cx="343678" cy="190350"/>
        </a:xfrm>
        <a:custGeom>
          <a:avLst/>
          <a:gdLst/>
          <a:ahLst/>
          <a:cxnLst/>
          <a:rect l="0" t="0" r="0" b="0"/>
          <a:pathLst>
            <a:path>
              <a:moveTo>
                <a:pt x="0" y="0"/>
              </a:moveTo>
              <a:lnTo>
                <a:pt x="0" y="113556"/>
              </a:lnTo>
              <a:lnTo>
                <a:pt x="343678" y="113556"/>
              </a:lnTo>
              <a:lnTo>
                <a:pt x="343678" y="190350"/>
              </a:lnTo>
            </a:path>
          </a:pathLst>
        </a:custGeom>
        <a:noFill/>
        <a:ln w="12700" cap="flat" cmpd="sng" algn="ctr">
          <a:solidFill>
            <a:schemeClr val="accent6">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7E1F72E-DC7E-E34A-ACDF-263ABEF71440}">
      <dsp:nvSpPr>
        <dsp:cNvPr id="0" name=""/>
        <dsp:cNvSpPr/>
      </dsp:nvSpPr>
      <dsp:spPr>
        <a:xfrm>
          <a:off x="2776791" y="919869"/>
          <a:ext cx="100497" cy="1332204"/>
        </a:xfrm>
        <a:custGeom>
          <a:avLst/>
          <a:gdLst/>
          <a:ahLst/>
          <a:cxnLst/>
          <a:rect l="0" t="0" r="0" b="0"/>
          <a:pathLst>
            <a:path>
              <a:moveTo>
                <a:pt x="0" y="0"/>
              </a:moveTo>
              <a:lnTo>
                <a:pt x="0" y="1332204"/>
              </a:lnTo>
              <a:lnTo>
                <a:pt x="100497" y="1332204"/>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7B65A7B-2D16-C34F-9120-0F0A5E2B93A4}">
      <dsp:nvSpPr>
        <dsp:cNvPr id="0" name=""/>
        <dsp:cNvSpPr/>
      </dsp:nvSpPr>
      <dsp:spPr>
        <a:xfrm>
          <a:off x="2776791" y="919869"/>
          <a:ext cx="94872" cy="824190"/>
        </a:xfrm>
        <a:custGeom>
          <a:avLst/>
          <a:gdLst/>
          <a:ahLst/>
          <a:cxnLst/>
          <a:rect l="0" t="0" r="0" b="0"/>
          <a:pathLst>
            <a:path>
              <a:moveTo>
                <a:pt x="0" y="0"/>
              </a:moveTo>
              <a:lnTo>
                <a:pt x="0" y="824190"/>
              </a:lnTo>
              <a:lnTo>
                <a:pt x="94872" y="824190"/>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B6ABAB3-2433-D744-AA94-01ACA22D0DBC}">
      <dsp:nvSpPr>
        <dsp:cNvPr id="0" name=""/>
        <dsp:cNvSpPr/>
      </dsp:nvSpPr>
      <dsp:spPr>
        <a:xfrm>
          <a:off x="2731071" y="919869"/>
          <a:ext cx="91440" cy="304916"/>
        </a:xfrm>
        <a:custGeom>
          <a:avLst/>
          <a:gdLst/>
          <a:ahLst/>
          <a:cxnLst/>
          <a:rect l="0" t="0" r="0" b="0"/>
          <a:pathLst>
            <a:path>
              <a:moveTo>
                <a:pt x="45720" y="0"/>
              </a:moveTo>
              <a:lnTo>
                <a:pt x="45720" y="304916"/>
              </a:lnTo>
              <a:lnTo>
                <a:pt x="118066" y="304916"/>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17F672-5E04-48BF-AA11-D70CDBC16B2B}">
      <dsp:nvSpPr>
        <dsp:cNvPr id="0" name=""/>
        <dsp:cNvSpPr/>
      </dsp:nvSpPr>
      <dsp:spPr>
        <a:xfrm>
          <a:off x="3114234" y="369080"/>
          <a:ext cx="788609" cy="185102"/>
        </a:xfrm>
        <a:custGeom>
          <a:avLst/>
          <a:gdLst/>
          <a:ahLst/>
          <a:cxnLst/>
          <a:rect l="0" t="0" r="0" b="0"/>
          <a:pathLst>
            <a:path>
              <a:moveTo>
                <a:pt x="788609" y="0"/>
              </a:moveTo>
              <a:lnTo>
                <a:pt x="788609" y="108308"/>
              </a:lnTo>
              <a:lnTo>
                <a:pt x="0" y="108308"/>
              </a:lnTo>
              <a:lnTo>
                <a:pt x="0" y="185102"/>
              </a:lnTo>
            </a:path>
          </a:pathLst>
        </a:custGeom>
        <a:noFill/>
        <a:ln w="12700" cap="flat" cmpd="sng" algn="ctr">
          <a:solidFill>
            <a:schemeClr val="accent6">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45C132A-4887-4443-A4AC-9E6D46E51F58}">
      <dsp:nvSpPr>
        <dsp:cNvPr id="0" name=""/>
        <dsp:cNvSpPr/>
      </dsp:nvSpPr>
      <dsp:spPr>
        <a:xfrm>
          <a:off x="1532685" y="931622"/>
          <a:ext cx="91440" cy="3816832"/>
        </a:xfrm>
        <a:custGeom>
          <a:avLst/>
          <a:gdLst/>
          <a:ahLst/>
          <a:cxnLst/>
          <a:rect l="0" t="0" r="0" b="0"/>
          <a:pathLst>
            <a:path>
              <a:moveTo>
                <a:pt x="88936" y="0"/>
              </a:moveTo>
              <a:lnTo>
                <a:pt x="88936" y="3816832"/>
              </a:lnTo>
              <a:lnTo>
                <a:pt x="45720" y="3816832"/>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3B32C51-947C-834B-B6DA-32A1EA618618}">
      <dsp:nvSpPr>
        <dsp:cNvPr id="0" name=""/>
        <dsp:cNvSpPr/>
      </dsp:nvSpPr>
      <dsp:spPr>
        <a:xfrm>
          <a:off x="1513062" y="931622"/>
          <a:ext cx="91440" cy="3209267"/>
        </a:xfrm>
        <a:custGeom>
          <a:avLst/>
          <a:gdLst/>
          <a:ahLst/>
          <a:cxnLst/>
          <a:rect l="0" t="0" r="0" b="0"/>
          <a:pathLst>
            <a:path>
              <a:moveTo>
                <a:pt x="108559" y="0"/>
              </a:moveTo>
              <a:lnTo>
                <a:pt x="108559" y="3209267"/>
              </a:lnTo>
              <a:lnTo>
                <a:pt x="45720" y="3209267"/>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289BE61-B3BD-F14F-8E98-42746FD3A5DD}">
      <dsp:nvSpPr>
        <dsp:cNvPr id="0" name=""/>
        <dsp:cNvSpPr/>
      </dsp:nvSpPr>
      <dsp:spPr>
        <a:xfrm>
          <a:off x="1513062" y="931622"/>
          <a:ext cx="91440" cy="2689993"/>
        </a:xfrm>
        <a:custGeom>
          <a:avLst/>
          <a:gdLst/>
          <a:ahLst/>
          <a:cxnLst/>
          <a:rect l="0" t="0" r="0" b="0"/>
          <a:pathLst>
            <a:path>
              <a:moveTo>
                <a:pt x="108559" y="0"/>
              </a:moveTo>
              <a:lnTo>
                <a:pt x="108559" y="2689993"/>
              </a:lnTo>
              <a:lnTo>
                <a:pt x="45720" y="2689993"/>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7A2461A-8265-824A-8152-3DAE0E300CAD}">
      <dsp:nvSpPr>
        <dsp:cNvPr id="0" name=""/>
        <dsp:cNvSpPr/>
      </dsp:nvSpPr>
      <dsp:spPr>
        <a:xfrm>
          <a:off x="1513062" y="931622"/>
          <a:ext cx="91440" cy="2170718"/>
        </a:xfrm>
        <a:custGeom>
          <a:avLst/>
          <a:gdLst/>
          <a:ahLst/>
          <a:cxnLst/>
          <a:rect l="0" t="0" r="0" b="0"/>
          <a:pathLst>
            <a:path>
              <a:moveTo>
                <a:pt x="108559" y="0"/>
              </a:moveTo>
              <a:lnTo>
                <a:pt x="108559" y="2170718"/>
              </a:lnTo>
              <a:lnTo>
                <a:pt x="45720" y="2170718"/>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3CF1539-2F8C-AB4C-8508-9DFAAD0FBFF8}">
      <dsp:nvSpPr>
        <dsp:cNvPr id="0" name=""/>
        <dsp:cNvSpPr/>
      </dsp:nvSpPr>
      <dsp:spPr>
        <a:xfrm>
          <a:off x="1513062" y="931622"/>
          <a:ext cx="91440" cy="1651444"/>
        </a:xfrm>
        <a:custGeom>
          <a:avLst/>
          <a:gdLst/>
          <a:ahLst/>
          <a:cxnLst/>
          <a:rect l="0" t="0" r="0" b="0"/>
          <a:pathLst>
            <a:path>
              <a:moveTo>
                <a:pt x="108559" y="0"/>
              </a:moveTo>
              <a:lnTo>
                <a:pt x="108559" y="1651444"/>
              </a:lnTo>
              <a:lnTo>
                <a:pt x="45720" y="1651444"/>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EE42FFC-822E-3442-92EF-30BCD5327804}">
      <dsp:nvSpPr>
        <dsp:cNvPr id="0" name=""/>
        <dsp:cNvSpPr/>
      </dsp:nvSpPr>
      <dsp:spPr>
        <a:xfrm>
          <a:off x="1492708" y="931622"/>
          <a:ext cx="91440" cy="211227"/>
        </a:xfrm>
        <a:custGeom>
          <a:avLst/>
          <a:gdLst/>
          <a:ahLst/>
          <a:cxnLst/>
          <a:rect l="0" t="0" r="0" b="0"/>
          <a:pathLst>
            <a:path>
              <a:moveTo>
                <a:pt x="128913" y="0"/>
              </a:moveTo>
              <a:lnTo>
                <a:pt x="128913" y="211227"/>
              </a:lnTo>
              <a:lnTo>
                <a:pt x="45720" y="211227"/>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C4FA640-54C5-4531-8DAF-C7B07D64BF81}">
      <dsp:nvSpPr>
        <dsp:cNvPr id="0" name=""/>
        <dsp:cNvSpPr/>
      </dsp:nvSpPr>
      <dsp:spPr>
        <a:xfrm>
          <a:off x="1513062" y="931622"/>
          <a:ext cx="91440" cy="1143499"/>
        </a:xfrm>
        <a:custGeom>
          <a:avLst/>
          <a:gdLst/>
          <a:ahLst/>
          <a:cxnLst/>
          <a:rect l="0" t="0" r="0" b="0"/>
          <a:pathLst>
            <a:path>
              <a:moveTo>
                <a:pt x="108559" y="0"/>
              </a:moveTo>
              <a:lnTo>
                <a:pt x="108559" y="1143499"/>
              </a:lnTo>
              <a:lnTo>
                <a:pt x="45720" y="1143499"/>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42FE75-F571-4C9D-8040-F34A1B613B2E}">
      <dsp:nvSpPr>
        <dsp:cNvPr id="0" name=""/>
        <dsp:cNvSpPr/>
      </dsp:nvSpPr>
      <dsp:spPr>
        <a:xfrm>
          <a:off x="1513062" y="931622"/>
          <a:ext cx="91440" cy="681898"/>
        </a:xfrm>
        <a:custGeom>
          <a:avLst/>
          <a:gdLst/>
          <a:ahLst/>
          <a:cxnLst/>
          <a:rect l="0" t="0" r="0" b="0"/>
          <a:pathLst>
            <a:path>
              <a:moveTo>
                <a:pt x="108559" y="0"/>
              </a:moveTo>
              <a:lnTo>
                <a:pt x="108559" y="681898"/>
              </a:lnTo>
              <a:lnTo>
                <a:pt x="45720" y="681898"/>
              </a:lnTo>
            </a:path>
          </a:pathLst>
        </a:custGeom>
        <a:noFill/>
        <a:ln w="12700" cap="flat" cmpd="sng" algn="ctr">
          <a:solidFill>
            <a:schemeClr val="accent1">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038634F-D613-46FA-97E7-845920CBF28D}">
      <dsp:nvSpPr>
        <dsp:cNvPr id="0" name=""/>
        <dsp:cNvSpPr/>
      </dsp:nvSpPr>
      <dsp:spPr>
        <a:xfrm>
          <a:off x="1914170" y="369080"/>
          <a:ext cx="1988673" cy="196856"/>
        </a:xfrm>
        <a:custGeom>
          <a:avLst/>
          <a:gdLst/>
          <a:ahLst/>
          <a:cxnLst/>
          <a:rect l="0" t="0" r="0" b="0"/>
          <a:pathLst>
            <a:path>
              <a:moveTo>
                <a:pt x="1988673" y="0"/>
              </a:moveTo>
              <a:lnTo>
                <a:pt x="1988673" y="120062"/>
              </a:lnTo>
              <a:lnTo>
                <a:pt x="0" y="120062"/>
              </a:lnTo>
              <a:lnTo>
                <a:pt x="0" y="196856"/>
              </a:lnTo>
            </a:path>
          </a:pathLst>
        </a:custGeom>
        <a:noFill/>
        <a:ln w="12700" cap="flat" cmpd="sng" algn="ctr">
          <a:solidFill>
            <a:schemeClr val="accent6">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F7FB57-F630-46E8-A88D-D64D6C90E401}">
      <dsp:nvSpPr>
        <dsp:cNvPr id="0" name=""/>
        <dsp:cNvSpPr/>
      </dsp:nvSpPr>
      <dsp:spPr>
        <a:xfrm>
          <a:off x="3263796" y="3394"/>
          <a:ext cx="1278094" cy="365685"/>
        </a:xfrm>
        <a:prstGeom prst="rect">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Projet site emprunt Multimédia</a:t>
          </a:r>
        </a:p>
      </dsp:txBody>
      <dsp:txXfrm>
        <a:off x="3263796" y="3394"/>
        <a:ext cx="1278094" cy="365685"/>
      </dsp:txXfrm>
    </dsp:sp>
    <dsp:sp modelId="{C85CEC50-53E4-4B02-89DA-95B0F4C5533B}">
      <dsp:nvSpPr>
        <dsp:cNvPr id="0" name=""/>
        <dsp:cNvSpPr/>
      </dsp:nvSpPr>
      <dsp:spPr>
        <a:xfrm>
          <a:off x="1548484" y="565936"/>
          <a:ext cx="731371" cy="365685"/>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Administration</a:t>
          </a:r>
        </a:p>
      </dsp:txBody>
      <dsp:txXfrm>
        <a:off x="1548484" y="565936"/>
        <a:ext cx="731371" cy="365685"/>
      </dsp:txXfrm>
    </dsp:sp>
    <dsp:sp modelId="{EA655C49-C43A-41E7-9F7E-2A0B66756ED1}">
      <dsp:nvSpPr>
        <dsp:cNvPr id="0" name=""/>
        <dsp:cNvSpPr/>
      </dsp:nvSpPr>
      <dsp:spPr>
        <a:xfrm>
          <a:off x="827410" y="1430677"/>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Séances</a:t>
          </a:r>
        </a:p>
      </dsp:txBody>
      <dsp:txXfrm>
        <a:off x="827410" y="1430677"/>
        <a:ext cx="731371" cy="365685"/>
      </dsp:txXfrm>
    </dsp:sp>
    <dsp:sp modelId="{8FAED61E-0CEE-4A88-96CF-E5AD99493BA7}">
      <dsp:nvSpPr>
        <dsp:cNvPr id="0" name=""/>
        <dsp:cNvSpPr/>
      </dsp:nvSpPr>
      <dsp:spPr>
        <a:xfrm>
          <a:off x="827410" y="1892279"/>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Rédaction PV</a:t>
          </a:r>
        </a:p>
      </dsp:txBody>
      <dsp:txXfrm>
        <a:off x="827410" y="1892279"/>
        <a:ext cx="731371" cy="365685"/>
      </dsp:txXfrm>
    </dsp:sp>
    <dsp:sp modelId="{B31B971D-17A9-9E4E-99E7-90E8DD2F00F5}">
      <dsp:nvSpPr>
        <dsp:cNvPr id="0" name=""/>
        <dsp:cNvSpPr/>
      </dsp:nvSpPr>
      <dsp:spPr>
        <a:xfrm>
          <a:off x="807056" y="960006"/>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Organigramme</a:t>
          </a:r>
        </a:p>
      </dsp:txBody>
      <dsp:txXfrm>
        <a:off x="807056" y="960006"/>
        <a:ext cx="731371" cy="365685"/>
      </dsp:txXfrm>
    </dsp:sp>
    <dsp:sp modelId="{61F43B20-553D-AF4A-8C89-61E935B220B5}">
      <dsp:nvSpPr>
        <dsp:cNvPr id="0" name=""/>
        <dsp:cNvSpPr/>
      </dsp:nvSpPr>
      <dsp:spPr>
        <a:xfrm>
          <a:off x="827410" y="2400224"/>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Cahier des charges</a:t>
          </a:r>
        </a:p>
      </dsp:txBody>
      <dsp:txXfrm>
        <a:off x="827410" y="2400224"/>
        <a:ext cx="731371" cy="365685"/>
      </dsp:txXfrm>
    </dsp:sp>
    <dsp:sp modelId="{B32DBBF2-52B3-7846-9A58-35895A8927A8}">
      <dsp:nvSpPr>
        <dsp:cNvPr id="0" name=""/>
        <dsp:cNvSpPr/>
      </dsp:nvSpPr>
      <dsp:spPr>
        <a:xfrm>
          <a:off x="827410" y="2919498"/>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Fichier d’évaluations pour le coach, </a:t>
          </a:r>
        </a:p>
      </dsp:txBody>
      <dsp:txXfrm>
        <a:off x="827410" y="2919498"/>
        <a:ext cx="731371" cy="365685"/>
      </dsp:txXfrm>
    </dsp:sp>
    <dsp:sp modelId="{0AB2843F-3672-1E4A-8F53-77F4E7760227}">
      <dsp:nvSpPr>
        <dsp:cNvPr id="0" name=""/>
        <dsp:cNvSpPr/>
      </dsp:nvSpPr>
      <dsp:spPr>
        <a:xfrm>
          <a:off x="827410" y="3438772"/>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Planifier RDV avec coach</a:t>
          </a:r>
        </a:p>
      </dsp:txBody>
      <dsp:txXfrm>
        <a:off x="827410" y="3438772"/>
        <a:ext cx="731371" cy="365685"/>
      </dsp:txXfrm>
    </dsp:sp>
    <dsp:sp modelId="{8F874AF9-5271-4548-82C0-6079FB7D327C}">
      <dsp:nvSpPr>
        <dsp:cNvPr id="0" name=""/>
        <dsp:cNvSpPr/>
      </dsp:nvSpPr>
      <dsp:spPr>
        <a:xfrm>
          <a:off x="827410" y="3958046"/>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Devis</a:t>
          </a:r>
        </a:p>
      </dsp:txBody>
      <dsp:txXfrm>
        <a:off x="827410" y="3958046"/>
        <a:ext cx="731371" cy="365685"/>
      </dsp:txXfrm>
    </dsp:sp>
    <dsp:sp modelId="{4AEBF024-B1DB-3C4C-952E-4A19295FF657}">
      <dsp:nvSpPr>
        <dsp:cNvPr id="0" name=""/>
        <dsp:cNvSpPr/>
      </dsp:nvSpPr>
      <dsp:spPr>
        <a:xfrm>
          <a:off x="847033" y="4565611"/>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Facturation</a:t>
          </a:r>
        </a:p>
      </dsp:txBody>
      <dsp:txXfrm>
        <a:off x="847033" y="4565611"/>
        <a:ext cx="731371" cy="365685"/>
      </dsp:txXfrm>
    </dsp:sp>
    <dsp:sp modelId="{1F130361-C562-4338-AA13-1BFAF21F89FB}">
      <dsp:nvSpPr>
        <dsp:cNvPr id="0" name=""/>
        <dsp:cNvSpPr/>
      </dsp:nvSpPr>
      <dsp:spPr>
        <a:xfrm>
          <a:off x="2692430" y="554183"/>
          <a:ext cx="843608" cy="365685"/>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Design /Preview</a:t>
          </a:r>
        </a:p>
      </dsp:txBody>
      <dsp:txXfrm>
        <a:off x="2692430" y="554183"/>
        <a:ext cx="843608" cy="365685"/>
      </dsp:txXfrm>
    </dsp:sp>
    <dsp:sp modelId="{D1BC4318-905E-AC4E-B2B6-0ADFB83D395D}">
      <dsp:nvSpPr>
        <dsp:cNvPr id="0" name=""/>
        <dsp:cNvSpPr/>
      </dsp:nvSpPr>
      <dsp:spPr>
        <a:xfrm>
          <a:off x="2849138" y="1041942"/>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Moodboard</a:t>
          </a:r>
        </a:p>
      </dsp:txBody>
      <dsp:txXfrm>
        <a:off x="2849138" y="1041942"/>
        <a:ext cx="731371" cy="365685"/>
      </dsp:txXfrm>
    </dsp:sp>
    <dsp:sp modelId="{7D069778-6578-DA4C-884E-8B054A8829A9}">
      <dsp:nvSpPr>
        <dsp:cNvPr id="0" name=""/>
        <dsp:cNvSpPr/>
      </dsp:nvSpPr>
      <dsp:spPr>
        <a:xfrm>
          <a:off x="2871664" y="1561216"/>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Croquis</a:t>
          </a:r>
        </a:p>
      </dsp:txBody>
      <dsp:txXfrm>
        <a:off x="2871664" y="1561216"/>
        <a:ext cx="731371" cy="365685"/>
      </dsp:txXfrm>
    </dsp:sp>
    <dsp:sp modelId="{F1BA0469-C817-3F46-9D4F-0EEBF27F2224}">
      <dsp:nvSpPr>
        <dsp:cNvPr id="0" name=""/>
        <dsp:cNvSpPr/>
      </dsp:nvSpPr>
      <dsp:spPr>
        <a:xfrm>
          <a:off x="2877288" y="2069231"/>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WireFrame</a:t>
          </a:r>
        </a:p>
      </dsp:txBody>
      <dsp:txXfrm>
        <a:off x="2877288" y="2069231"/>
        <a:ext cx="731371" cy="365685"/>
      </dsp:txXfrm>
    </dsp:sp>
    <dsp:sp modelId="{F3E2C4B2-C746-40D9-A9D6-AC7E41CF72A8}">
      <dsp:nvSpPr>
        <dsp:cNvPr id="0" name=""/>
        <dsp:cNvSpPr/>
      </dsp:nvSpPr>
      <dsp:spPr>
        <a:xfrm>
          <a:off x="3999502" y="559430"/>
          <a:ext cx="494041" cy="365685"/>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CH" sz="800" kern="1200"/>
            <a:t>Code </a:t>
          </a:r>
        </a:p>
      </dsp:txBody>
      <dsp:txXfrm>
        <a:off x="3999502" y="559430"/>
        <a:ext cx="494041" cy="365685"/>
      </dsp:txXfrm>
    </dsp:sp>
    <dsp:sp modelId="{E52D6E3D-849F-6B46-B551-5EBBF81FC80F}">
      <dsp:nvSpPr>
        <dsp:cNvPr id="0" name=""/>
        <dsp:cNvSpPr/>
      </dsp:nvSpPr>
      <dsp:spPr>
        <a:xfrm>
          <a:off x="4116795" y="1060157"/>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FR" sz="800" kern="1200"/>
            <a:t>Html</a:t>
          </a:r>
        </a:p>
      </dsp:txBody>
      <dsp:txXfrm>
        <a:off x="4116795" y="1060157"/>
        <a:ext cx="731371" cy="365685"/>
      </dsp:txXfrm>
    </dsp:sp>
    <dsp:sp modelId="{3A4A794C-E568-AD4B-8596-BC5FC7E88D69}">
      <dsp:nvSpPr>
        <dsp:cNvPr id="0" name=""/>
        <dsp:cNvSpPr/>
      </dsp:nvSpPr>
      <dsp:spPr>
        <a:xfrm>
          <a:off x="4126135" y="1479493"/>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FR" sz="800" kern="1200"/>
            <a:t>CSS</a:t>
          </a:r>
        </a:p>
      </dsp:txBody>
      <dsp:txXfrm>
        <a:off x="4126135" y="1479493"/>
        <a:ext cx="731371" cy="365685"/>
      </dsp:txXfrm>
    </dsp:sp>
    <dsp:sp modelId="{8D6DFEA6-B5C8-7A4C-8CDE-65EE3F99830F}">
      <dsp:nvSpPr>
        <dsp:cNvPr id="0" name=""/>
        <dsp:cNvSpPr/>
      </dsp:nvSpPr>
      <dsp:spPr>
        <a:xfrm>
          <a:off x="4126318" y="1921676"/>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FR" sz="800" kern="1200"/>
            <a:t>JS</a:t>
          </a:r>
        </a:p>
      </dsp:txBody>
      <dsp:txXfrm>
        <a:off x="4126318" y="1921676"/>
        <a:ext cx="731371" cy="365685"/>
      </dsp:txXfrm>
    </dsp:sp>
    <dsp:sp modelId="{BCA5D11B-BF5B-2D46-A7AE-77149142F02C}">
      <dsp:nvSpPr>
        <dsp:cNvPr id="0" name=""/>
        <dsp:cNvSpPr/>
      </dsp:nvSpPr>
      <dsp:spPr>
        <a:xfrm>
          <a:off x="5010799" y="567965"/>
          <a:ext cx="731371" cy="365685"/>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FR" sz="800" kern="1200"/>
            <a:t>Base de données</a:t>
          </a:r>
        </a:p>
      </dsp:txBody>
      <dsp:txXfrm>
        <a:off x="5010799" y="567965"/>
        <a:ext cx="731371" cy="365685"/>
      </dsp:txXfrm>
    </dsp:sp>
    <dsp:sp modelId="{91F0D91F-6812-C64A-95D2-BD5C91A29C98}">
      <dsp:nvSpPr>
        <dsp:cNvPr id="0" name=""/>
        <dsp:cNvSpPr/>
      </dsp:nvSpPr>
      <dsp:spPr>
        <a:xfrm>
          <a:off x="5978886" y="585420"/>
          <a:ext cx="731371" cy="365685"/>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FR" sz="800" kern="1200"/>
            <a:t>Rendu au client</a:t>
          </a:r>
        </a:p>
      </dsp:txBody>
      <dsp:txXfrm>
        <a:off x="5978886" y="585420"/>
        <a:ext cx="731371" cy="365685"/>
      </dsp:txXfrm>
    </dsp:sp>
    <dsp:sp modelId="{24B2395B-EA0C-8C45-9D2E-C0E0300F269F}">
      <dsp:nvSpPr>
        <dsp:cNvPr id="0" name=""/>
        <dsp:cNvSpPr/>
      </dsp:nvSpPr>
      <dsp:spPr>
        <a:xfrm>
          <a:off x="6847252" y="577122"/>
          <a:ext cx="731371" cy="365685"/>
        </a:xfrm>
        <a:prstGeom prst="rect">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FR" sz="800" kern="1200"/>
            <a:t>Achevement</a:t>
          </a:r>
        </a:p>
      </dsp:txBody>
      <dsp:txXfrm>
        <a:off x="6847252" y="577122"/>
        <a:ext cx="731371" cy="365685"/>
      </dsp:txXfrm>
    </dsp:sp>
    <dsp:sp modelId="{929C6310-CA0C-9146-8824-EF59C5169D50}">
      <dsp:nvSpPr>
        <dsp:cNvPr id="0" name=""/>
        <dsp:cNvSpPr/>
      </dsp:nvSpPr>
      <dsp:spPr>
        <a:xfrm>
          <a:off x="7089577" y="1066282"/>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FR" sz="800" kern="1200"/>
            <a:t>Planche de présentation</a:t>
          </a:r>
        </a:p>
      </dsp:txBody>
      <dsp:txXfrm>
        <a:off x="7089577" y="1066282"/>
        <a:ext cx="731371" cy="365685"/>
      </dsp:txXfrm>
    </dsp:sp>
    <dsp:sp modelId="{AF7A921C-54EE-6540-B013-8B6D78282F80}">
      <dsp:nvSpPr>
        <dsp:cNvPr id="0" name=""/>
        <dsp:cNvSpPr/>
      </dsp:nvSpPr>
      <dsp:spPr>
        <a:xfrm>
          <a:off x="7094536" y="1539191"/>
          <a:ext cx="731371" cy="365685"/>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fr-FR" sz="800" kern="1200"/>
            <a:t>Arichvement</a:t>
          </a:r>
        </a:p>
      </dsp:txBody>
      <dsp:txXfrm>
        <a:off x="7094536" y="1539191"/>
        <a:ext cx="731371" cy="365685"/>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Attention!A1"/><Relationship Id="rId3" Type="http://schemas.openxmlformats.org/officeDocument/2006/relationships/diagramQuickStyle" Target="../diagrams/quickStyle1.xml"/><Relationship Id="rId7" Type="http://schemas.openxmlformats.org/officeDocument/2006/relationships/image" Target="../media/image5.png"/><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hyperlink" Target="#Organigramme"/><Relationship Id="rId5" Type="http://schemas.microsoft.com/office/2007/relationships/diagramDrawing" Target="../diagrams/drawing1.xml"/><Relationship Id="rId4" Type="http://schemas.openxmlformats.org/officeDocument/2006/relationships/diagramColors" Target="../diagrams/colors1.xml"/><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hyperlink" Target="#Ressources!A1"/><Relationship Id="rId2" Type="http://schemas.openxmlformats.org/officeDocument/2006/relationships/image" Target="../media/image6.png"/><Relationship Id="rId1" Type="http://schemas.openxmlformats.org/officeDocument/2006/relationships/hyperlink" Target="#Attention!A1"/><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hyperlink" Target="#Planning"/><Relationship Id="rId2" Type="http://schemas.openxmlformats.org/officeDocument/2006/relationships/image" Target="../media/image6.png"/><Relationship Id="rId1" Type="http://schemas.openxmlformats.org/officeDocument/2006/relationships/hyperlink" Target="#Attention!A1"/><Relationship Id="rId6" Type="http://schemas.openxmlformats.org/officeDocument/2006/relationships/image" Target="../media/image7.png"/><Relationship Id="rId5" Type="http://schemas.openxmlformats.org/officeDocument/2006/relationships/hyperlink" Target="#impression"/><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ttention!A1"/><Relationship Id="rId1" Type="http://schemas.openxmlformats.org/officeDocument/2006/relationships/chart" Target="../charts/chart1.xml"/><Relationship Id="rId5" Type="http://schemas.openxmlformats.org/officeDocument/2006/relationships/image" Target="../media/image5.png"/><Relationship Id="rId4" Type="http://schemas.openxmlformats.org/officeDocument/2006/relationships/hyperlink" Target="#JB"/></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Attention!A1"/><Relationship Id="rId1" Type="http://schemas.openxmlformats.org/officeDocument/2006/relationships/chart" Target="../charts/chart2.xml"/><Relationship Id="rId5" Type="http://schemas.openxmlformats.org/officeDocument/2006/relationships/image" Target="../media/image5.png"/><Relationship Id="rId4" Type="http://schemas.openxmlformats.org/officeDocument/2006/relationships/hyperlink" Target="#Suivi"/></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594360</xdr:colOff>
      <xdr:row>0</xdr:row>
      <xdr:rowOff>144780</xdr:rowOff>
    </xdr:from>
    <xdr:to>
      <xdr:col>16</xdr:col>
      <xdr:colOff>556260</xdr:colOff>
      <xdr:row>14</xdr:row>
      <xdr:rowOff>160020</xdr:rowOff>
    </xdr:to>
    <xdr:sp macro="" textlink="$L$8">
      <xdr:nvSpPr>
        <xdr:cNvPr id="2" name="Vague 1">
          <a:extLst>
            <a:ext uri="{FF2B5EF4-FFF2-40B4-BE49-F238E27FC236}">
              <a16:creationId xmlns:a16="http://schemas.microsoft.com/office/drawing/2014/main" id="{7B08C836-42E1-1078-FC7D-E28F180771D3}"/>
            </a:ext>
          </a:extLst>
        </xdr:cNvPr>
        <xdr:cNvSpPr/>
      </xdr:nvSpPr>
      <xdr:spPr>
        <a:xfrm>
          <a:off x="8519160" y="144780"/>
          <a:ext cx="4716780" cy="2522220"/>
        </a:xfrm>
        <a:prstGeom prst="wave">
          <a:avLst>
            <a:gd name="adj1" fmla="val 11875"/>
            <a:gd name="adj2" fmla="val 0"/>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H" sz="1100" b="0" i="0" u="none" strike="noStrike">
              <a:solidFill>
                <a:srgbClr val="FF0000"/>
              </a:solidFill>
              <a:effectLst/>
              <a:latin typeface="+mn-lt"/>
            </a:rPr>
            <a:t>Le fichier est protégé sans mot de passe. Si vous devez ôter la protection (menu Révision) pour faire des modifications (par exemple ajouter des lignes ou colonnes),  il est FORTEMENT conseillé de le protéger à nouveau après avoir fait les modifications. Les zones jaunes, les tâches principales</a:t>
          </a:r>
          <a:r>
            <a:rPr lang="fr-CH" sz="1100" b="0" i="0" u="none" strike="noStrike" baseline="0">
              <a:solidFill>
                <a:srgbClr val="FF0000"/>
              </a:solidFill>
              <a:effectLst/>
              <a:latin typeface="+mn-lt"/>
            </a:rPr>
            <a:t> et lots de tâches</a:t>
          </a:r>
          <a:r>
            <a:rPr lang="fr-CH" sz="1100" b="0" i="0" u="none" strike="noStrike">
              <a:solidFill>
                <a:srgbClr val="FF0000"/>
              </a:solidFill>
              <a:effectLst/>
              <a:latin typeface="+mn-lt"/>
            </a:rPr>
            <a:t>, le diagramme de Gant peuvent être rempli sans ôter la protection.</a:t>
          </a:r>
          <a:r>
            <a:rPr lang="fr-CH">
              <a:latin typeface="+mn-lt"/>
            </a:rPr>
            <a:t> </a:t>
          </a:r>
        </a:p>
        <a:p>
          <a:pPr algn="l"/>
          <a:r>
            <a:rPr lang="fr-CH" sz="1100" b="0" i="0" u="none" strike="noStrike">
              <a:solidFill>
                <a:srgbClr val="FF0000"/>
              </a:solidFill>
              <a:effectLst/>
              <a:latin typeface="+mn-lt"/>
            </a:rPr>
            <a:t>Ne supprimez pas des lignes ou des colonnes mais masquez-les si vous ne voulez pas qu'elles apparaissent/s'impriment.</a:t>
          </a:r>
          <a:r>
            <a:rPr lang="fr-CH">
              <a:latin typeface="+mn-lt"/>
            </a:rPr>
            <a:t> </a:t>
          </a:r>
          <a:endParaRPr lang="fr-CH" sz="1100">
            <a:latin typeface="+mn-lt"/>
          </a:endParaRPr>
        </a:p>
      </xdr:txBody>
    </xdr:sp>
    <xdr:clientData/>
  </xdr:twoCellAnchor>
  <xdr:twoCellAnchor editAs="oneCell">
    <xdr:from>
      <xdr:col>10</xdr:col>
      <xdr:colOff>746866</xdr:colOff>
      <xdr:row>17</xdr:row>
      <xdr:rowOff>120725</xdr:rowOff>
    </xdr:from>
    <xdr:to>
      <xdr:col>16</xdr:col>
      <xdr:colOff>219685</xdr:colOff>
      <xdr:row>39</xdr:row>
      <xdr:rowOff>374241</xdr:rowOff>
    </xdr:to>
    <xdr:pic>
      <xdr:nvPicPr>
        <xdr:cNvPr id="3" name="Image 2">
          <a:extLst>
            <a:ext uri="{FF2B5EF4-FFF2-40B4-BE49-F238E27FC236}">
              <a16:creationId xmlns:a16="http://schemas.microsoft.com/office/drawing/2014/main" id="{463685E6-AFCD-47F6-ACBE-655EFE265E2E}"/>
            </a:ext>
          </a:extLst>
        </xdr:cNvPr>
        <xdr:cNvPicPr>
          <a:picLocks noChangeAspect="1"/>
        </xdr:cNvPicPr>
      </xdr:nvPicPr>
      <xdr:blipFill>
        <a:blip xmlns:r="http://schemas.openxmlformats.org/officeDocument/2006/relationships" r:embed="rId1"/>
        <a:stretch>
          <a:fillRect/>
        </a:stretch>
      </xdr:blipFill>
      <xdr:spPr>
        <a:xfrm>
          <a:off x="8275426" y="3343985"/>
          <a:ext cx="4227699" cy="5968516"/>
        </a:xfrm>
        <a:prstGeom prst="rect">
          <a:avLst/>
        </a:prstGeom>
      </xdr:spPr>
    </xdr:pic>
    <xdr:clientData/>
  </xdr:twoCellAnchor>
  <xdr:twoCellAnchor editAs="oneCell">
    <xdr:from>
      <xdr:col>10</xdr:col>
      <xdr:colOff>749099</xdr:colOff>
      <xdr:row>40</xdr:row>
      <xdr:rowOff>60960</xdr:rowOff>
    </xdr:from>
    <xdr:to>
      <xdr:col>16</xdr:col>
      <xdr:colOff>312420</xdr:colOff>
      <xdr:row>67</xdr:row>
      <xdr:rowOff>40169</xdr:rowOff>
    </xdr:to>
    <xdr:pic>
      <xdr:nvPicPr>
        <xdr:cNvPr id="4" name="Image 3">
          <a:extLst>
            <a:ext uri="{FF2B5EF4-FFF2-40B4-BE49-F238E27FC236}">
              <a16:creationId xmlns:a16="http://schemas.microsoft.com/office/drawing/2014/main" id="{30763EE1-FA05-4F88-8E09-7D6F3991385F}"/>
            </a:ext>
          </a:extLst>
        </xdr:cNvPr>
        <xdr:cNvPicPr>
          <a:picLocks noChangeAspect="1"/>
        </xdr:cNvPicPr>
      </xdr:nvPicPr>
      <xdr:blipFill>
        <a:blip xmlns:r="http://schemas.openxmlformats.org/officeDocument/2006/relationships" r:embed="rId2"/>
        <a:stretch>
          <a:fillRect/>
        </a:stretch>
      </xdr:blipFill>
      <xdr:spPr>
        <a:xfrm>
          <a:off x="8277659" y="9349740"/>
          <a:ext cx="4318201" cy="6174269"/>
        </a:xfrm>
        <a:prstGeom prst="rect">
          <a:avLst/>
        </a:prstGeom>
      </xdr:spPr>
    </xdr:pic>
    <xdr:clientData/>
  </xdr:twoCellAnchor>
  <xdr:twoCellAnchor editAs="oneCell">
    <xdr:from>
      <xdr:col>10</xdr:col>
      <xdr:colOff>731990</xdr:colOff>
      <xdr:row>68</xdr:row>
      <xdr:rowOff>29738</xdr:rowOff>
    </xdr:from>
    <xdr:to>
      <xdr:col>16</xdr:col>
      <xdr:colOff>305405</xdr:colOff>
      <xdr:row>100</xdr:row>
      <xdr:rowOff>118963</xdr:rowOff>
    </xdr:to>
    <xdr:pic>
      <xdr:nvPicPr>
        <xdr:cNvPr id="5" name="Image 4">
          <a:extLst>
            <a:ext uri="{FF2B5EF4-FFF2-40B4-BE49-F238E27FC236}">
              <a16:creationId xmlns:a16="http://schemas.microsoft.com/office/drawing/2014/main" id="{660A7C91-515A-417D-8EE4-D42B6A296959}"/>
            </a:ext>
          </a:extLst>
        </xdr:cNvPr>
        <xdr:cNvPicPr>
          <a:picLocks noChangeAspect="1"/>
        </xdr:cNvPicPr>
      </xdr:nvPicPr>
      <xdr:blipFill>
        <a:blip xmlns:r="http://schemas.openxmlformats.org/officeDocument/2006/relationships" r:embed="rId3"/>
        <a:stretch>
          <a:fillRect/>
        </a:stretch>
      </xdr:blipFill>
      <xdr:spPr>
        <a:xfrm>
          <a:off x="8260550" y="15505958"/>
          <a:ext cx="4328295" cy="60937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243840</xdr:colOff>
      <xdr:row>5</xdr:row>
      <xdr:rowOff>87630</xdr:rowOff>
    </xdr:from>
    <xdr:to>
      <xdr:col>13</xdr:col>
      <xdr:colOff>335280</xdr:colOff>
      <xdr:row>31</xdr:row>
      <xdr:rowOff>30480</xdr:rowOff>
    </xdr:to>
    <xdr:graphicFrame macro="">
      <xdr:nvGraphicFramePr>
        <xdr:cNvPr id="2" name="Diagramme 1">
          <a:extLst>
            <a:ext uri="{FF2B5EF4-FFF2-40B4-BE49-F238E27FC236}">
              <a16:creationId xmlns:a16="http://schemas.microsoft.com/office/drawing/2014/main" id="{BAD76F90-B1C7-5B19-7688-5A8FD4B093D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9</xdr:col>
      <xdr:colOff>754380</xdr:colOff>
      <xdr:row>2</xdr:row>
      <xdr:rowOff>0</xdr:rowOff>
    </xdr:from>
    <xdr:to>
      <xdr:col>10</xdr:col>
      <xdr:colOff>281119</xdr:colOff>
      <xdr:row>3</xdr:row>
      <xdr:rowOff>131400</xdr:rowOff>
    </xdr:to>
    <xdr:pic>
      <xdr:nvPicPr>
        <xdr:cNvPr id="4" name="Image 3" descr="Abeille de dessins animés avec pointeur">
          <a:hlinkClick xmlns:r="http://schemas.openxmlformats.org/officeDocument/2006/relationships" r:id="rId6"/>
          <a:extLst>
            <a:ext uri="{FF2B5EF4-FFF2-40B4-BE49-F238E27FC236}">
              <a16:creationId xmlns:a16="http://schemas.microsoft.com/office/drawing/2014/main" id="{B85CBA42-377C-4D61-B241-2CC80F275D5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86700" y="541020"/>
          <a:ext cx="319219" cy="360000"/>
        </a:xfrm>
        <a:prstGeom prst="rect">
          <a:avLst/>
        </a:prstGeom>
      </xdr:spPr>
    </xdr:pic>
    <xdr:clientData fPrintsWithSheet="0"/>
  </xdr:twoCellAnchor>
  <xdr:twoCellAnchor editAs="oneCell">
    <xdr:from>
      <xdr:col>9</xdr:col>
      <xdr:colOff>68580</xdr:colOff>
      <xdr:row>2</xdr:row>
      <xdr:rowOff>15240</xdr:rowOff>
    </xdr:from>
    <xdr:to>
      <xdr:col>9</xdr:col>
      <xdr:colOff>536397</xdr:colOff>
      <xdr:row>3</xdr:row>
      <xdr:rowOff>146640</xdr:rowOff>
    </xdr:to>
    <xdr:pic>
      <xdr:nvPicPr>
        <xdr:cNvPr id="5" name="Image 4" descr="Abeille dessinée avec un panneau">
          <a:hlinkClick xmlns:r="http://schemas.openxmlformats.org/officeDocument/2006/relationships" r:id="rId8"/>
          <a:extLst>
            <a:ext uri="{FF2B5EF4-FFF2-40B4-BE49-F238E27FC236}">
              <a16:creationId xmlns:a16="http://schemas.microsoft.com/office/drawing/2014/main" id="{77CC98A8-D194-49C2-BBDF-09E94E647D5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00900" y="556260"/>
          <a:ext cx="467817" cy="360000"/>
        </a:xfrm>
        <a:prstGeom prst="rect">
          <a:avLst/>
        </a:prstGeom>
      </xdr:spPr>
    </xdr:pic>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10</xdr:col>
      <xdr:colOff>467817</xdr:colOff>
      <xdr:row>2</xdr:row>
      <xdr:rowOff>131400</xdr:rowOff>
    </xdr:to>
    <xdr:pic>
      <xdr:nvPicPr>
        <xdr:cNvPr id="2" name="Image 1" descr="Abeille dessinée avec un panneau">
          <a:hlinkClick xmlns:r="http://schemas.openxmlformats.org/officeDocument/2006/relationships" r:id="rId1"/>
          <a:extLst>
            <a:ext uri="{FF2B5EF4-FFF2-40B4-BE49-F238E27FC236}">
              <a16:creationId xmlns:a16="http://schemas.microsoft.com/office/drawing/2014/main" id="{B68ACF14-58AA-4898-BBC0-47EC7A1545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6040" y="312420"/>
          <a:ext cx="467817" cy="360000"/>
        </a:xfrm>
        <a:prstGeom prst="rect">
          <a:avLst/>
        </a:prstGeom>
      </xdr:spPr>
    </xdr:pic>
    <xdr:clientData fPrintsWithSheet="0"/>
  </xdr:twoCellAnchor>
  <xdr:twoCellAnchor editAs="oneCell">
    <xdr:from>
      <xdr:col>10</xdr:col>
      <xdr:colOff>754380</xdr:colOff>
      <xdr:row>1</xdr:row>
      <xdr:rowOff>0</xdr:rowOff>
    </xdr:from>
    <xdr:to>
      <xdr:col>11</xdr:col>
      <xdr:colOff>197299</xdr:colOff>
      <xdr:row>2</xdr:row>
      <xdr:rowOff>131400</xdr:rowOff>
    </xdr:to>
    <xdr:pic>
      <xdr:nvPicPr>
        <xdr:cNvPr id="3" name="Image 2" descr="Abeille de dessins animés avec pointeur">
          <a:hlinkClick xmlns:r="http://schemas.openxmlformats.org/officeDocument/2006/relationships" r:id="rId3"/>
          <a:extLst>
            <a:ext uri="{FF2B5EF4-FFF2-40B4-BE49-F238E27FC236}">
              <a16:creationId xmlns:a16="http://schemas.microsoft.com/office/drawing/2014/main" id="{353EA803-03D0-457B-A3B7-B091B74CCA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170420" y="312420"/>
          <a:ext cx="319219" cy="360000"/>
        </a:xfrm>
        <a:prstGeom prst="rect">
          <a:avLst/>
        </a:prstGeom>
      </xdr:spPr>
    </xdr:pic>
    <xdr:clientData fPrintsWithSheet="0"/>
  </xdr:twoCellAnchor>
</xdr:wsDr>
</file>

<file path=xl/drawings/drawing4.xml><?xml version="1.0" encoding="utf-8"?>
<xdr:wsDr xmlns:xdr="http://schemas.openxmlformats.org/drawingml/2006/spreadsheetDrawing" xmlns:a="http://schemas.openxmlformats.org/drawingml/2006/main">
  <xdr:twoCellAnchor editAs="oneCell">
    <xdr:from>
      <xdr:col>3</xdr:col>
      <xdr:colOff>251461</xdr:colOff>
      <xdr:row>4</xdr:row>
      <xdr:rowOff>53340</xdr:rowOff>
    </xdr:from>
    <xdr:to>
      <xdr:col>3</xdr:col>
      <xdr:colOff>709753</xdr:colOff>
      <xdr:row>5</xdr:row>
      <xdr:rowOff>184740</xdr:rowOff>
    </xdr:to>
    <xdr:pic>
      <xdr:nvPicPr>
        <xdr:cNvPr id="3" name="Image 2" descr="Abeille dessinée avec un panneau">
          <a:hlinkClick xmlns:r="http://schemas.openxmlformats.org/officeDocument/2006/relationships" r:id="rId1"/>
          <a:extLst>
            <a:ext uri="{FF2B5EF4-FFF2-40B4-BE49-F238E27FC236}">
              <a16:creationId xmlns:a16="http://schemas.microsoft.com/office/drawing/2014/main" id="{49FB30D9-1F17-1CEB-0B77-5CD809DDE3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92781" y="1051560"/>
          <a:ext cx="467817" cy="360000"/>
        </a:xfrm>
        <a:prstGeom prst="rect">
          <a:avLst/>
        </a:prstGeom>
      </xdr:spPr>
    </xdr:pic>
    <xdr:clientData fPrintsWithSheet="0"/>
  </xdr:twoCellAnchor>
  <xdr:twoCellAnchor editAs="oneCell">
    <xdr:from>
      <xdr:col>4</xdr:col>
      <xdr:colOff>91441</xdr:colOff>
      <xdr:row>4</xdr:row>
      <xdr:rowOff>45720</xdr:rowOff>
    </xdr:from>
    <xdr:to>
      <xdr:col>4</xdr:col>
      <xdr:colOff>410660</xdr:colOff>
      <xdr:row>5</xdr:row>
      <xdr:rowOff>177120</xdr:rowOff>
    </xdr:to>
    <xdr:pic>
      <xdr:nvPicPr>
        <xdr:cNvPr id="5" name="Image 4" descr="Abeille de dessins animés avec pointeur">
          <a:hlinkClick xmlns:r="http://schemas.openxmlformats.org/officeDocument/2006/relationships" r:id="rId3"/>
          <a:extLst>
            <a:ext uri="{FF2B5EF4-FFF2-40B4-BE49-F238E27FC236}">
              <a16:creationId xmlns:a16="http://schemas.microsoft.com/office/drawing/2014/main" id="{03F89762-CCA3-3636-3DCB-84E63891F0E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71901" y="1043940"/>
          <a:ext cx="319219" cy="360000"/>
        </a:xfrm>
        <a:prstGeom prst="rect">
          <a:avLst/>
        </a:prstGeom>
      </xdr:spPr>
    </xdr:pic>
    <xdr:clientData fPrintsWithSheet="0"/>
  </xdr:twoCellAnchor>
  <xdr:twoCellAnchor editAs="oneCell">
    <xdr:from>
      <xdr:col>4</xdr:col>
      <xdr:colOff>586740</xdr:colOff>
      <xdr:row>4</xdr:row>
      <xdr:rowOff>53340</xdr:rowOff>
    </xdr:from>
    <xdr:to>
      <xdr:col>5</xdr:col>
      <xdr:colOff>251571</xdr:colOff>
      <xdr:row>5</xdr:row>
      <xdr:rowOff>184740</xdr:rowOff>
    </xdr:to>
    <xdr:pic>
      <xdr:nvPicPr>
        <xdr:cNvPr id="7" name="Image 6" descr="Abeille de dessins animés avec crayon">
          <a:hlinkClick xmlns:r="http://schemas.openxmlformats.org/officeDocument/2006/relationships" r:id="rId5"/>
          <a:extLst>
            <a:ext uri="{FF2B5EF4-FFF2-40B4-BE49-F238E27FC236}">
              <a16:creationId xmlns:a16="http://schemas.microsoft.com/office/drawing/2014/main" id="{523D8451-58B5-5C1B-B170-10E6C510646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267200" y="1051560"/>
          <a:ext cx="335391" cy="360000"/>
        </a:xfrm>
        <a:prstGeom prst="rect">
          <a:avLst/>
        </a:prstGeom>
      </xdr:spPr>
    </xdr:pic>
    <xdr:clientData fPrintsWithSheet="0"/>
  </xdr:twoCellAnchor>
</xdr:wsDr>
</file>

<file path=xl/drawings/drawing5.xml><?xml version="1.0" encoding="utf-8"?>
<xdr:wsDr xmlns:xdr="http://schemas.openxmlformats.org/drawingml/2006/spreadsheetDrawing" xmlns:a="http://schemas.openxmlformats.org/drawingml/2006/main">
  <xdr:twoCellAnchor>
    <xdr:from>
      <xdr:col>15</xdr:col>
      <xdr:colOff>68580</xdr:colOff>
      <xdr:row>26</xdr:row>
      <xdr:rowOff>118110</xdr:rowOff>
    </xdr:from>
    <xdr:to>
      <xdr:col>18</xdr:col>
      <xdr:colOff>30480</xdr:colOff>
      <xdr:row>40</xdr:row>
      <xdr:rowOff>80010</xdr:rowOff>
    </xdr:to>
    <xdr:graphicFrame macro="">
      <xdr:nvGraphicFramePr>
        <xdr:cNvPr id="2" name="Graphique 1">
          <a:extLst>
            <a:ext uri="{FF2B5EF4-FFF2-40B4-BE49-F238E27FC236}">
              <a16:creationId xmlns:a16="http://schemas.microsoft.com/office/drawing/2014/main" id="{E742C5A3-8F9C-1F43-C153-2F64F374A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259080</xdr:colOff>
      <xdr:row>1</xdr:row>
      <xdr:rowOff>15240</xdr:rowOff>
    </xdr:from>
    <xdr:to>
      <xdr:col>1</xdr:col>
      <xdr:colOff>726897</xdr:colOff>
      <xdr:row>2</xdr:row>
      <xdr:rowOff>184740</xdr:rowOff>
    </xdr:to>
    <xdr:pic>
      <xdr:nvPicPr>
        <xdr:cNvPr id="3" name="Image 2" descr="Abeille dessinée avec un panneau">
          <a:hlinkClick xmlns:r="http://schemas.openxmlformats.org/officeDocument/2006/relationships" r:id="rId2"/>
          <a:extLst>
            <a:ext uri="{FF2B5EF4-FFF2-40B4-BE49-F238E27FC236}">
              <a16:creationId xmlns:a16="http://schemas.microsoft.com/office/drawing/2014/main" id="{90C41CE1-86C8-429F-8BED-64C9B5513A8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2920" y="365760"/>
          <a:ext cx="467817" cy="360000"/>
        </a:xfrm>
        <a:prstGeom prst="rect">
          <a:avLst/>
        </a:prstGeom>
      </xdr:spPr>
    </xdr:pic>
    <xdr:clientData fPrintsWithSheet="0"/>
  </xdr:twoCellAnchor>
  <xdr:twoCellAnchor editAs="oneCell">
    <xdr:from>
      <xdr:col>2</xdr:col>
      <xdr:colOff>152400</xdr:colOff>
      <xdr:row>1</xdr:row>
      <xdr:rowOff>15240</xdr:rowOff>
    </xdr:from>
    <xdr:to>
      <xdr:col>2</xdr:col>
      <xdr:colOff>519879</xdr:colOff>
      <xdr:row>2</xdr:row>
      <xdr:rowOff>184740</xdr:rowOff>
    </xdr:to>
    <xdr:pic>
      <xdr:nvPicPr>
        <xdr:cNvPr id="4" name="Image 3" descr="Abeille de dessins animés avec pointeur">
          <a:hlinkClick xmlns:r="http://schemas.openxmlformats.org/officeDocument/2006/relationships" r:id="rId4"/>
          <a:extLst>
            <a:ext uri="{FF2B5EF4-FFF2-40B4-BE49-F238E27FC236}">
              <a16:creationId xmlns:a16="http://schemas.microsoft.com/office/drawing/2014/main" id="{9E207DF0-54BB-43DF-A7C6-43A15C95BD6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57300" y="365760"/>
          <a:ext cx="319219" cy="360000"/>
        </a:xfrm>
        <a:prstGeom prst="rect">
          <a:avLst/>
        </a:prstGeom>
      </xdr:spPr>
    </xdr:pic>
    <xdr:clientData fPrintsWithSheet="0"/>
  </xdr:twoCellAnchor>
</xdr:wsDr>
</file>

<file path=xl/drawings/drawing6.xml><?xml version="1.0" encoding="utf-8"?>
<xdr:wsDr xmlns:xdr="http://schemas.openxmlformats.org/drawingml/2006/spreadsheetDrawing" xmlns:a="http://schemas.openxmlformats.org/drawingml/2006/main">
  <xdr:twoCellAnchor>
    <xdr:from>
      <xdr:col>5</xdr:col>
      <xdr:colOff>121920</xdr:colOff>
      <xdr:row>31</xdr:row>
      <xdr:rowOff>15240</xdr:rowOff>
    </xdr:from>
    <xdr:to>
      <xdr:col>14</xdr:col>
      <xdr:colOff>655320</xdr:colOff>
      <xdr:row>49</xdr:row>
      <xdr:rowOff>76200</xdr:rowOff>
    </xdr:to>
    <xdr:graphicFrame macro="">
      <xdr:nvGraphicFramePr>
        <xdr:cNvPr id="3" name="Graphique 2">
          <a:extLst>
            <a:ext uri="{FF2B5EF4-FFF2-40B4-BE49-F238E27FC236}">
              <a16:creationId xmlns:a16="http://schemas.microsoft.com/office/drawing/2014/main" id="{A3BE6D7A-9C81-307E-1313-5637F312A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0</xdr:row>
      <xdr:rowOff>0</xdr:rowOff>
    </xdr:from>
    <xdr:to>
      <xdr:col>4</xdr:col>
      <xdr:colOff>79197</xdr:colOff>
      <xdr:row>1</xdr:row>
      <xdr:rowOff>47580</xdr:rowOff>
    </xdr:to>
    <xdr:pic>
      <xdr:nvPicPr>
        <xdr:cNvPr id="2" name="Image 1" descr="Abeille dessinée avec un panneau">
          <a:hlinkClick xmlns:r="http://schemas.openxmlformats.org/officeDocument/2006/relationships" r:id="rId2"/>
          <a:extLst>
            <a:ext uri="{FF2B5EF4-FFF2-40B4-BE49-F238E27FC236}">
              <a16:creationId xmlns:a16="http://schemas.microsoft.com/office/drawing/2014/main" id="{C7DC9059-82CD-4D63-9923-CFAD64B734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61260" y="0"/>
          <a:ext cx="467817" cy="360000"/>
        </a:xfrm>
        <a:prstGeom prst="rect">
          <a:avLst/>
        </a:prstGeom>
      </xdr:spPr>
    </xdr:pic>
    <xdr:clientData fPrintsWithSheet="0"/>
  </xdr:twoCellAnchor>
  <xdr:twoCellAnchor editAs="oneCell">
    <xdr:from>
      <xdr:col>4</xdr:col>
      <xdr:colOff>365760</xdr:colOff>
      <xdr:row>0</xdr:row>
      <xdr:rowOff>0</xdr:rowOff>
    </xdr:from>
    <xdr:to>
      <xdr:col>4</xdr:col>
      <xdr:colOff>684979</xdr:colOff>
      <xdr:row>1</xdr:row>
      <xdr:rowOff>47580</xdr:rowOff>
    </xdr:to>
    <xdr:pic>
      <xdr:nvPicPr>
        <xdr:cNvPr id="4" name="Image 3" descr="Abeille de dessins animés avec pointeur">
          <a:hlinkClick xmlns:r="http://schemas.openxmlformats.org/officeDocument/2006/relationships" r:id="rId4"/>
          <a:extLst>
            <a:ext uri="{FF2B5EF4-FFF2-40B4-BE49-F238E27FC236}">
              <a16:creationId xmlns:a16="http://schemas.microsoft.com/office/drawing/2014/main" id="{CD35C8EB-1A22-4DD3-A694-E2578B4FD9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215640" y="0"/>
          <a:ext cx="319219" cy="360000"/>
        </a:xfrm>
        <a:prstGeom prst="rect">
          <a:avLst/>
        </a:prstGeom>
      </xdr:spPr>
    </xdr:pic>
    <xdr:clientData fPrintsWithSheet="0"/>
  </xdr:twoCellAnchor>
</xdr:wsDr>
</file>

<file path=xl/drawings/drawing7.xml><?xml version="1.0" encoding="utf-8"?>
<xdr:wsDr xmlns:xdr="http://schemas.openxmlformats.org/drawingml/2006/spreadsheetDrawing" xmlns:a="http://schemas.openxmlformats.org/drawingml/2006/main">
  <xdr:twoCellAnchor>
    <xdr:from>
      <xdr:col>2</xdr:col>
      <xdr:colOff>731520</xdr:colOff>
      <xdr:row>3</xdr:row>
      <xdr:rowOff>137160</xdr:rowOff>
    </xdr:from>
    <xdr:to>
      <xdr:col>11</xdr:col>
      <xdr:colOff>601980</xdr:colOff>
      <xdr:row>23</xdr:row>
      <xdr:rowOff>137160</xdr:rowOff>
    </xdr:to>
    <xdr:sp macro="" textlink="$L$7">
      <xdr:nvSpPr>
        <xdr:cNvPr id="2" name="Vague 1">
          <a:extLst>
            <a:ext uri="{FF2B5EF4-FFF2-40B4-BE49-F238E27FC236}">
              <a16:creationId xmlns:a16="http://schemas.microsoft.com/office/drawing/2014/main" id="{9C5F1545-30BB-4641-A229-3CE7DEDD8CDD}"/>
            </a:ext>
          </a:extLst>
        </xdr:cNvPr>
        <xdr:cNvSpPr/>
      </xdr:nvSpPr>
      <xdr:spPr>
        <a:xfrm>
          <a:off x="2316480" y="899160"/>
          <a:ext cx="7002780" cy="3657600"/>
        </a:xfrm>
        <a:prstGeom prst="wave">
          <a:avLst>
            <a:gd name="adj1" fmla="val 11875"/>
            <a:gd name="adj2" fmla="val 0"/>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CH" sz="1400" b="0" i="0" u="none" strike="noStrike">
              <a:solidFill>
                <a:srgbClr val="FF0000"/>
              </a:solidFill>
              <a:effectLst/>
              <a:latin typeface="+mn-lt"/>
            </a:rPr>
            <a:t>- Le fichier est protégé sans mot de passe. </a:t>
          </a:r>
        </a:p>
        <a:p>
          <a:pPr algn="l"/>
          <a:r>
            <a:rPr lang="fr-CH" sz="1400" b="0" i="0" u="none" strike="noStrike">
              <a:solidFill>
                <a:srgbClr val="FF0000"/>
              </a:solidFill>
              <a:effectLst/>
              <a:latin typeface="+mn-lt"/>
            </a:rPr>
            <a:t>- Si vous devez ôter la protection (menu Révision) pour faire des</a:t>
          </a:r>
          <a:r>
            <a:rPr lang="fr-CH" sz="1400" b="0" i="0" u="none" strike="noStrike" baseline="0">
              <a:solidFill>
                <a:srgbClr val="FF0000"/>
              </a:solidFill>
              <a:effectLst/>
              <a:latin typeface="+mn-lt"/>
            </a:rPr>
            <a:t> </a:t>
          </a:r>
          <a:r>
            <a:rPr lang="fr-CH" sz="1400" b="0" i="0" u="none" strike="noStrike">
              <a:solidFill>
                <a:srgbClr val="FF0000"/>
              </a:solidFill>
              <a:effectLst/>
              <a:latin typeface="+mn-lt"/>
            </a:rPr>
            <a:t>modifications (par exemple ajouter des lignes ou colonnes),  il est FORTEMENT conseillé de le protéger à nouveau après avoir fait les modifications. </a:t>
          </a:r>
        </a:p>
        <a:p>
          <a:pPr algn="l"/>
          <a:r>
            <a:rPr lang="fr-CH" sz="1400" b="0" i="0" u="none" strike="noStrike">
              <a:solidFill>
                <a:srgbClr val="FF0000"/>
              </a:solidFill>
              <a:effectLst/>
              <a:latin typeface="+mn-lt"/>
            </a:rPr>
            <a:t>- Les zones jaunes, les tâches principales</a:t>
          </a:r>
          <a:r>
            <a:rPr lang="fr-CH" sz="1400" b="0" i="0" u="none" strike="noStrike" baseline="0">
              <a:solidFill>
                <a:srgbClr val="FF0000"/>
              </a:solidFill>
              <a:effectLst/>
              <a:latin typeface="+mn-lt"/>
            </a:rPr>
            <a:t> et lots de tâches</a:t>
          </a:r>
          <a:r>
            <a:rPr lang="fr-CH" sz="1400" b="0" i="0" u="none" strike="noStrike">
              <a:solidFill>
                <a:srgbClr val="FF0000"/>
              </a:solidFill>
              <a:effectLst/>
              <a:latin typeface="+mn-lt"/>
            </a:rPr>
            <a:t>, le diagramme de Gant peuvent être rempli sans ôter la protection.</a:t>
          </a:r>
          <a:r>
            <a:rPr lang="fr-CH" sz="1400">
              <a:latin typeface="+mn-lt"/>
            </a:rPr>
            <a:t> </a:t>
          </a:r>
        </a:p>
        <a:p>
          <a:pPr algn="l"/>
          <a:r>
            <a:rPr lang="fr-CH" sz="1400" b="0" i="0" u="none" strike="noStrike">
              <a:solidFill>
                <a:srgbClr val="FF0000"/>
              </a:solidFill>
              <a:effectLst/>
              <a:latin typeface="+mn-lt"/>
            </a:rPr>
            <a:t>- Ne supprimez pas des lignes ou des colonnes mais masquez-les si vous ne voulez pas qu'elles apparaissent/s'impriment.</a:t>
          </a:r>
          <a:r>
            <a:rPr lang="fr-CH" sz="1400">
              <a:latin typeface="+mn-lt"/>
            </a:rPr>
            <a:t> </a:t>
          </a:r>
        </a:p>
      </xdr:txBody>
    </xdr:sp>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eanmichel.gschwind@eduvaud.ch"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https://support.microsoft.com/fr-fr/topic/la-cellule-li%C3%A9e-%C3%A0-une-cellule-de-texte-indique-une-formule-non-value-a9732194-1602-9372-f2fc-c0259f2f931c"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CDD6-12DC-4DCF-813A-FDCE3C58CFAE}">
  <sheetPr>
    <tabColor rgb="FF92D050"/>
  </sheetPr>
  <dimension ref="A1:O78"/>
  <sheetViews>
    <sheetView showGridLines="0" workbookViewId="0">
      <selection activeCell="A71" sqref="A71:I71"/>
    </sheetView>
  </sheetViews>
  <sheetFormatPr baseColWidth="10" defaultColWidth="11.5" defaultRowHeight="15" x14ac:dyDescent="0.2"/>
  <cols>
    <col min="1" max="1" width="11.5" style="20" customWidth="1"/>
    <col min="2" max="2" width="5.6640625" customWidth="1"/>
  </cols>
  <sheetData>
    <row r="1" spans="1:15" ht="23" x14ac:dyDescent="0.25">
      <c r="A1" s="296" t="s">
        <v>0</v>
      </c>
    </row>
    <row r="2" spans="1:15" ht="23" x14ac:dyDescent="0.25">
      <c r="A2" s="296"/>
      <c r="B2" s="192" t="s">
        <v>1</v>
      </c>
    </row>
    <row r="4" spans="1:15" x14ac:dyDescent="0.2">
      <c r="A4" s="20" t="s">
        <v>2</v>
      </c>
      <c r="L4" s="103"/>
    </row>
    <row r="5" spans="1:15" x14ac:dyDescent="0.2">
      <c r="B5" s="23" t="s">
        <v>3</v>
      </c>
      <c r="L5" s="25"/>
    </row>
    <row r="6" spans="1:15" x14ac:dyDescent="0.2">
      <c r="B6" s="23" t="s">
        <v>4</v>
      </c>
    </row>
    <row r="7" spans="1:15" x14ac:dyDescent="0.2">
      <c r="A7" s="20" t="s">
        <v>5</v>
      </c>
    </row>
    <row r="8" spans="1:15" x14ac:dyDescent="0.2">
      <c r="B8" s="23" t="s">
        <v>6</v>
      </c>
      <c r="L8" s="192" t="s">
        <v>7</v>
      </c>
      <c r="M8" t="s">
        <v>8</v>
      </c>
    </row>
    <row r="9" spans="1:15" x14ac:dyDescent="0.2">
      <c r="B9" s="23" t="s">
        <v>9</v>
      </c>
    </row>
    <row r="10" spans="1:15" x14ac:dyDescent="0.2">
      <c r="B10" s="23" t="s">
        <v>10</v>
      </c>
    </row>
    <row r="11" spans="1:15" x14ac:dyDescent="0.2">
      <c r="B11" s="23" t="s">
        <v>11</v>
      </c>
      <c r="O11" s="19"/>
    </row>
    <row r="12" spans="1:15" x14ac:dyDescent="0.2">
      <c r="B12" s="23" t="s">
        <v>12</v>
      </c>
    </row>
    <row r="13" spans="1:15" x14ac:dyDescent="0.2">
      <c r="B13" s="23" t="s">
        <v>13</v>
      </c>
    </row>
    <row r="14" spans="1:15" x14ac:dyDescent="0.2">
      <c r="B14" s="217" t="s">
        <v>14</v>
      </c>
    </row>
    <row r="15" spans="1:15" x14ac:dyDescent="0.2">
      <c r="B15" s="23" t="s">
        <v>15</v>
      </c>
    </row>
    <row r="16" spans="1:15" ht="29.5" customHeight="1" x14ac:dyDescent="0.2">
      <c r="B16" s="424" t="s">
        <v>16</v>
      </c>
      <c r="C16" s="424"/>
      <c r="D16" s="424"/>
      <c r="E16" s="424"/>
      <c r="F16" s="424"/>
      <c r="G16" s="424"/>
      <c r="H16" s="424"/>
      <c r="I16" s="424"/>
    </row>
    <row r="17" spans="1:12" x14ac:dyDescent="0.2">
      <c r="B17" s="23" t="s">
        <v>17</v>
      </c>
      <c r="L17" s="20" t="s">
        <v>18</v>
      </c>
    </row>
    <row r="18" spans="1:12" x14ac:dyDescent="0.2">
      <c r="B18" s="23" t="s">
        <v>19</v>
      </c>
    </row>
    <row r="19" spans="1:12" x14ac:dyDescent="0.2">
      <c r="B19" s="23" t="s">
        <v>20</v>
      </c>
    </row>
    <row r="20" spans="1:12" x14ac:dyDescent="0.2">
      <c r="A20" s="20" t="s">
        <v>21</v>
      </c>
      <c r="B20" s="23"/>
    </row>
    <row r="21" spans="1:12" x14ac:dyDescent="0.2">
      <c r="B21" s="23" t="s">
        <v>22</v>
      </c>
    </row>
    <row r="22" spans="1:12" x14ac:dyDescent="0.2">
      <c r="B22" s="23" t="s">
        <v>23</v>
      </c>
    </row>
    <row r="23" spans="1:12" x14ac:dyDescent="0.2">
      <c r="A23" s="20" t="s">
        <v>24</v>
      </c>
    </row>
    <row r="24" spans="1:12" x14ac:dyDescent="0.2">
      <c r="A24" t="s">
        <v>25</v>
      </c>
    </row>
    <row r="25" spans="1:12" x14ac:dyDescent="0.2">
      <c r="B25" s="23" t="s">
        <v>26</v>
      </c>
    </row>
    <row r="26" spans="1:12" x14ac:dyDescent="0.2">
      <c r="B26" s="23" t="s">
        <v>27</v>
      </c>
    </row>
    <row r="27" spans="1:12" x14ac:dyDescent="0.2">
      <c r="B27" s="23" t="s">
        <v>28</v>
      </c>
    </row>
    <row r="28" spans="1:12" x14ac:dyDescent="0.2">
      <c r="A28" t="s">
        <v>29</v>
      </c>
    </row>
    <row r="29" spans="1:12" x14ac:dyDescent="0.2">
      <c r="A29" s="285"/>
      <c r="B29" s="23" t="s">
        <v>30</v>
      </c>
      <c r="C29" s="23"/>
      <c r="D29" s="23"/>
      <c r="E29" s="23"/>
      <c r="F29" s="23"/>
      <c r="G29" s="23"/>
      <c r="H29" s="23"/>
      <c r="I29" s="23"/>
    </row>
    <row r="30" spans="1:12" x14ac:dyDescent="0.2">
      <c r="A30" s="284"/>
      <c r="C30" s="23" t="s">
        <v>31</v>
      </c>
      <c r="D30" s="23"/>
      <c r="E30" s="23"/>
      <c r="F30" s="23"/>
      <c r="G30" s="23"/>
      <c r="H30" s="23"/>
      <c r="I30" s="23"/>
    </row>
    <row r="31" spans="1:12" x14ac:dyDescent="0.2">
      <c r="A31" s="284"/>
      <c r="C31" s="23" t="s">
        <v>32</v>
      </c>
      <c r="D31" s="23"/>
      <c r="E31" s="23"/>
      <c r="F31" s="23"/>
      <c r="G31" s="23"/>
      <c r="H31" s="23"/>
      <c r="I31" s="23"/>
    </row>
    <row r="32" spans="1:12" ht="28.25" customHeight="1" x14ac:dyDescent="0.2">
      <c r="A32" s="284"/>
      <c r="C32" s="419" t="s">
        <v>33</v>
      </c>
      <c r="D32" s="419"/>
      <c r="E32" s="419"/>
      <c r="F32" s="419"/>
      <c r="G32" s="419"/>
      <c r="H32" s="419"/>
      <c r="I32" s="419"/>
    </row>
    <row r="33" spans="1:10" ht="27.5" customHeight="1" x14ac:dyDescent="0.2">
      <c r="A33" s="284"/>
      <c r="C33" s="419" t="s">
        <v>34</v>
      </c>
      <c r="D33" s="419"/>
      <c r="E33" s="419"/>
      <c r="F33" s="419"/>
      <c r="G33" s="419"/>
      <c r="H33" s="419"/>
      <c r="I33" s="419"/>
    </row>
    <row r="34" spans="1:10" ht="27.5" customHeight="1" x14ac:dyDescent="0.2">
      <c r="B34" s="419" t="s">
        <v>35</v>
      </c>
      <c r="C34" s="419"/>
      <c r="D34" s="419"/>
      <c r="E34" s="419"/>
      <c r="F34" s="419"/>
      <c r="G34" s="419"/>
      <c r="H34" s="419"/>
      <c r="I34" s="419"/>
    </row>
    <row r="35" spans="1:10" x14ac:dyDescent="0.2">
      <c r="A35" t="s">
        <v>36</v>
      </c>
      <c r="B35" s="283"/>
      <c r="C35" s="283"/>
      <c r="D35" s="283"/>
      <c r="E35" s="283"/>
      <c r="F35" s="283"/>
      <c r="G35" s="283"/>
      <c r="H35" s="283"/>
      <c r="I35" s="283"/>
    </row>
    <row r="36" spans="1:10" ht="66.5" customHeight="1" x14ac:dyDescent="0.2">
      <c r="A36" s="287"/>
      <c r="B36" s="423" t="s">
        <v>37</v>
      </c>
      <c r="C36" s="423"/>
      <c r="D36" s="423"/>
      <c r="E36" s="423"/>
      <c r="F36" s="423"/>
      <c r="G36" s="423"/>
      <c r="H36" s="423"/>
      <c r="I36" s="423"/>
    </row>
    <row r="37" spans="1:10" ht="42.5" customHeight="1" x14ac:dyDescent="0.2">
      <c r="A37" s="286"/>
      <c r="B37" s="420" t="s">
        <v>38</v>
      </c>
      <c r="C37" s="420"/>
      <c r="D37" s="420"/>
      <c r="E37" s="420"/>
      <c r="F37" s="420"/>
      <c r="G37" s="420"/>
      <c r="H37" s="420"/>
      <c r="I37" s="420"/>
      <c r="J37" s="289"/>
    </row>
    <row r="38" spans="1:10" ht="27" customHeight="1" x14ac:dyDescent="0.2">
      <c r="B38" s="420" t="s">
        <v>39</v>
      </c>
      <c r="C38" s="420"/>
      <c r="D38" s="420"/>
      <c r="E38" s="420"/>
      <c r="F38" s="420"/>
      <c r="G38" s="420"/>
      <c r="H38" s="420"/>
      <c r="I38" s="420"/>
      <c r="J38" s="289"/>
    </row>
    <row r="39" spans="1:10" x14ac:dyDescent="0.2">
      <c r="A39" t="s">
        <v>40</v>
      </c>
      <c r="B39" s="290"/>
      <c r="C39" s="290"/>
      <c r="D39" s="290"/>
      <c r="E39" s="290"/>
      <c r="F39" s="290"/>
      <c r="G39" s="290"/>
      <c r="H39" s="290"/>
      <c r="I39" s="290"/>
    </row>
    <row r="40" spans="1:10" ht="56.5" customHeight="1" x14ac:dyDescent="0.2">
      <c r="B40" s="418" t="s">
        <v>41</v>
      </c>
      <c r="C40" s="418"/>
      <c r="D40" s="418"/>
      <c r="E40" s="418"/>
      <c r="F40" s="418"/>
      <c r="G40" s="418"/>
      <c r="H40" s="418"/>
      <c r="I40" s="418"/>
      <c r="J40" s="291"/>
    </row>
    <row r="41" spans="1:10" x14ac:dyDescent="0.2">
      <c r="B41" s="421" t="s">
        <v>42</v>
      </c>
      <c r="C41" s="421"/>
      <c r="D41" s="421"/>
      <c r="E41" s="421"/>
      <c r="F41" s="421"/>
      <c r="G41" s="421"/>
      <c r="H41" s="421"/>
      <c r="I41" s="421"/>
      <c r="J41" s="421"/>
    </row>
    <row r="42" spans="1:10" ht="43.25" customHeight="1" x14ac:dyDescent="0.2">
      <c r="B42" s="420" t="s">
        <v>43</v>
      </c>
      <c r="C42" s="420"/>
      <c r="D42" s="420"/>
      <c r="E42" s="420"/>
      <c r="F42" s="420"/>
      <c r="G42" s="420"/>
      <c r="H42" s="420"/>
      <c r="I42" s="420"/>
      <c r="J42" s="292"/>
    </row>
    <row r="43" spans="1:10" ht="25.25" customHeight="1" x14ac:dyDescent="0.2">
      <c r="B43" s="420" t="s">
        <v>44</v>
      </c>
      <c r="C43" s="420"/>
      <c r="D43" s="420"/>
      <c r="E43" s="420"/>
      <c r="F43" s="420"/>
      <c r="G43" s="420"/>
      <c r="H43" s="420"/>
      <c r="I43" s="420"/>
      <c r="J43" s="292"/>
    </row>
    <row r="44" spans="1:10" ht="14.5" customHeight="1" x14ac:dyDescent="0.2">
      <c r="B44" s="23" t="s">
        <v>45</v>
      </c>
      <c r="C44" s="23"/>
      <c r="D44" s="23"/>
      <c r="E44" s="23"/>
      <c r="F44" s="23"/>
      <c r="G44" s="23"/>
      <c r="H44" s="23"/>
      <c r="I44" s="23"/>
      <c r="J44" s="288"/>
    </row>
    <row r="45" spans="1:10" x14ac:dyDescent="0.2">
      <c r="B45" s="23" t="s">
        <v>46</v>
      </c>
      <c r="C45" s="23"/>
      <c r="D45" s="23"/>
      <c r="E45" s="23"/>
      <c r="F45" s="23"/>
      <c r="G45" s="23"/>
      <c r="H45" s="23"/>
      <c r="I45" s="23"/>
      <c r="J45" s="293"/>
    </row>
    <row r="46" spans="1:10" x14ac:dyDescent="0.2">
      <c r="B46" s="23" t="s">
        <v>47</v>
      </c>
      <c r="C46" s="23"/>
      <c r="D46" s="23"/>
      <c r="E46" s="23"/>
      <c r="F46" s="23"/>
      <c r="G46" s="23"/>
      <c r="H46" s="23"/>
      <c r="I46" s="23"/>
      <c r="J46" s="288"/>
    </row>
    <row r="47" spans="1:10" ht="29.5" customHeight="1" x14ac:dyDescent="0.2">
      <c r="B47" s="419" t="s">
        <v>48</v>
      </c>
      <c r="C47" s="419"/>
      <c r="D47" s="419"/>
      <c r="E47" s="419"/>
      <c r="F47" s="419"/>
      <c r="G47" s="419"/>
      <c r="H47" s="419"/>
      <c r="I47" s="419"/>
      <c r="J47" s="23"/>
    </row>
    <row r="48" spans="1:10" ht="29" customHeight="1" x14ac:dyDescent="0.2">
      <c r="B48" s="419" t="s">
        <v>49</v>
      </c>
      <c r="C48" s="419"/>
      <c r="D48" s="419"/>
      <c r="E48" s="419"/>
      <c r="F48" s="419"/>
      <c r="G48" s="419"/>
      <c r="H48" s="419"/>
      <c r="I48" s="419"/>
      <c r="J48" s="23"/>
    </row>
    <row r="49" spans="1:9" x14ac:dyDescent="0.2">
      <c r="B49" s="420" t="s">
        <v>50</v>
      </c>
      <c r="C49" s="420"/>
      <c r="D49" s="420"/>
      <c r="E49" s="420"/>
      <c r="F49" s="420"/>
      <c r="G49" s="420"/>
      <c r="H49" s="420"/>
      <c r="I49" s="420"/>
    </row>
    <row r="50" spans="1:9" x14ac:dyDescent="0.2">
      <c r="A50" s="20" t="s">
        <v>51</v>
      </c>
      <c r="B50" s="294"/>
      <c r="C50" s="294"/>
      <c r="D50" s="294"/>
      <c r="E50" s="294"/>
      <c r="F50" s="294"/>
      <c r="G50" s="294"/>
      <c r="H50" s="294"/>
      <c r="I50" s="294"/>
    </row>
    <row r="51" spans="1:9" x14ac:dyDescent="0.2">
      <c r="A51" s="295" t="s">
        <v>52</v>
      </c>
      <c r="B51" s="23"/>
    </row>
    <row r="52" spans="1:9" x14ac:dyDescent="0.2">
      <c r="B52" s="23" t="s">
        <v>53</v>
      </c>
    </row>
    <row r="53" spans="1:9" x14ac:dyDescent="0.2">
      <c r="B53" s="23" t="s">
        <v>54</v>
      </c>
    </row>
    <row r="54" spans="1:9" x14ac:dyDescent="0.2">
      <c r="A54" s="295" t="s">
        <v>55</v>
      </c>
      <c r="B54" s="23"/>
    </row>
    <row r="55" spans="1:9" x14ac:dyDescent="0.2">
      <c r="B55" s="23" t="s">
        <v>56</v>
      </c>
    </row>
    <row r="56" spans="1:9" x14ac:dyDescent="0.2">
      <c r="B56" s="23" t="s">
        <v>57</v>
      </c>
    </row>
    <row r="57" spans="1:9" x14ac:dyDescent="0.2">
      <c r="B57" s="23" t="s">
        <v>58</v>
      </c>
    </row>
    <row r="58" spans="1:9" x14ac:dyDescent="0.2">
      <c r="B58" s="23" t="s">
        <v>59</v>
      </c>
    </row>
    <row r="59" spans="1:9" x14ac:dyDescent="0.2">
      <c r="B59" s="23" t="s">
        <v>60</v>
      </c>
    </row>
    <row r="60" spans="1:9" x14ac:dyDescent="0.2">
      <c r="B60" s="23" t="s">
        <v>61</v>
      </c>
    </row>
    <row r="61" spans="1:9" x14ac:dyDescent="0.2">
      <c r="B61" s="23" t="s">
        <v>62</v>
      </c>
    </row>
    <row r="62" spans="1:9" x14ac:dyDescent="0.2">
      <c r="A62" s="20" t="s">
        <v>63</v>
      </c>
    </row>
    <row r="63" spans="1:9" ht="29.5" customHeight="1" x14ac:dyDescent="0.2">
      <c r="B63" s="419" t="s">
        <v>64</v>
      </c>
      <c r="C63" s="419"/>
      <c r="D63" s="419"/>
      <c r="E63" s="419"/>
      <c r="F63" s="419"/>
      <c r="G63" s="419"/>
      <c r="H63" s="419"/>
      <c r="I63" s="419"/>
    </row>
    <row r="64" spans="1:9" x14ac:dyDescent="0.2">
      <c r="A64" s="20" t="s">
        <v>65</v>
      </c>
    </row>
    <row r="65" spans="1:9" x14ac:dyDescent="0.2">
      <c r="B65" s="23" t="s">
        <v>66</v>
      </c>
    </row>
    <row r="66" spans="1:9" ht="29.5" customHeight="1" x14ac:dyDescent="0.2">
      <c r="B66" s="419" t="s">
        <v>67</v>
      </c>
      <c r="C66" s="419"/>
      <c r="D66" s="419"/>
      <c r="E66" s="419"/>
      <c r="F66" s="419"/>
      <c r="G66" s="419"/>
      <c r="H66" s="419"/>
      <c r="I66" s="419"/>
    </row>
    <row r="67" spans="1:9" x14ac:dyDescent="0.2">
      <c r="A67" s="20" t="s">
        <v>68</v>
      </c>
    </row>
    <row r="68" spans="1:9" x14ac:dyDescent="0.2">
      <c r="B68" s="23" t="s">
        <v>69</v>
      </c>
    </row>
    <row r="69" spans="1:9" x14ac:dyDescent="0.2">
      <c r="B69" s="23" t="s">
        <v>70</v>
      </c>
    </row>
    <row r="70" spans="1:9" x14ac:dyDescent="0.2">
      <c r="A70" s="20" t="s">
        <v>71</v>
      </c>
    </row>
    <row r="71" spans="1:9" x14ac:dyDescent="0.2">
      <c r="A71" s="422" t="s">
        <v>72</v>
      </c>
      <c r="B71" s="422"/>
      <c r="C71" s="422"/>
      <c r="D71" s="422"/>
      <c r="E71" s="422"/>
      <c r="F71" s="422"/>
      <c r="G71" s="422"/>
      <c r="H71" s="422"/>
      <c r="I71" s="422"/>
    </row>
    <row r="72" spans="1:9" x14ac:dyDescent="0.2">
      <c r="A72" s="422" t="s">
        <v>73</v>
      </c>
      <c r="B72" s="422"/>
      <c r="C72" s="422"/>
      <c r="D72" s="422"/>
      <c r="E72" s="422"/>
      <c r="F72" s="422"/>
      <c r="G72" s="422"/>
      <c r="H72" s="422"/>
      <c r="I72" s="422"/>
    </row>
    <row r="73" spans="1:9" x14ac:dyDescent="0.2">
      <c r="A73" s="422" t="s">
        <v>74</v>
      </c>
      <c r="B73" s="422"/>
      <c r="C73" s="422"/>
      <c r="D73" s="422"/>
      <c r="E73" s="422"/>
      <c r="F73" s="422"/>
      <c r="G73" s="422"/>
      <c r="H73" s="422"/>
      <c r="I73" s="422"/>
    </row>
    <row r="74" spans="1:9" ht="26.5" customHeight="1" x14ac:dyDescent="0.2">
      <c r="A74" s="417" t="s">
        <v>75</v>
      </c>
      <c r="B74" s="417"/>
      <c r="C74" s="417"/>
      <c r="D74" s="417"/>
      <c r="E74" s="417"/>
      <c r="F74" s="417"/>
      <c r="G74" s="417"/>
      <c r="H74" s="417"/>
      <c r="I74" s="417"/>
    </row>
    <row r="75" spans="1:9" x14ac:dyDescent="0.2">
      <c r="A75" s="385" t="s">
        <v>76</v>
      </c>
    </row>
    <row r="78" spans="1:9" x14ac:dyDescent="0.2">
      <c r="A78" s="282" t="s">
        <v>77</v>
      </c>
      <c r="F78" s="76" t="s">
        <v>78</v>
      </c>
    </row>
  </sheetData>
  <mergeCells count="20">
    <mergeCell ref="C32:I32"/>
    <mergeCell ref="B36:I36"/>
    <mergeCell ref="B37:I37"/>
    <mergeCell ref="B38:I38"/>
    <mergeCell ref="B16:I16"/>
    <mergeCell ref="B34:I34"/>
    <mergeCell ref="A74:I74"/>
    <mergeCell ref="B40:I40"/>
    <mergeCell ref="C33:I33"/>
    <mergeCell ref="B42:I42"/>
    <mergeCell ref="B43:I43"/>
    <mergeCell ref="B49:I49"/>
    <mergeCell ref="B41:J41"/>
    <mergeCell ref="B47:I47"/>
    <mergeCell ref="B48:I48"/>
    <mergeCell ref="B63:I63"/>
    <mergeCell ref="B66:I66"/>
    <mergeCell ref="A71:I71"/>
    <mergeCell ref="A72:I72"/>
    <mergeCell ref="A73:I73"/>
  </mergeCells>
  <hyperlinks>
    <hyperlink ref="F78" r:id="rId1" xr:uid="{FEEC1FD0-8EC9-4705-A829-A4D4505B3FD7}"/>
  </hyperlinks>
  <pageMargins left="0.70866141732283472" right="0.70866141732283472" top="0.94488188976377963" bottom="0.74803149606299213" header="0.31496062992125984" footer="0.31496062992125984"/>
  <pageSetup paperSize="9" orientation="portrait" horizontalDpi="4294967293" verticalDpi="4294967293" r:id="rId2"/>
  <headerFooter>
    <oddHeader>&amp;L&amp;G</oddHeader>
  </headerFooter>
  <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CFB9-A6ED-449B-8D12-AA9C48AA892C}">
  <sheetPr>
    <tabColor theme="4" tint="0.79998168889431442"/>
    <pageSetUpPr fitToPage="1"/>
  </sheetPr>
  <dimension ref="A1:L15"/>
  <sheetViews>
    <sheetView showGridLines="0" topLeftCell="B2" zoomScale="110" workbookViewId="0">
      <selection activeCell="J29" sqref="J29"/>
    </sheetView>
  </sheetViews>
  <sheetFormatPr baseColWidth="10" defaultColWidth="11.5" defaultRowHeight="15" x14ac:dyDescent="0.2"/>
  <cols>
    <col min="1" max="2" width="11.5" customWidth="1"/>
  </cols>
  <sheetData>
    <row r="1" spans="1:12" ht="25" x14ac:dyDescent="0.25">
      <c r="A1" s="96" t="s">
        <v>79</v>
      </c>
      <c r="J1" s="386" t="s">
        <v>80</v>
      </c>
    </row>
    <row r="2" spans="1:12" ht="19" x14ac:dyDescent="0.25">
      <c r="A2" s="87" t="s">
        <v>81</v>
      </c>
      <c r="C2" s="425" t="s">
        <v>226</v>
      </c>
      <c r="D2" s="426"/>
      <c r="E2" s="426"/>
      <c r="F2" s="426"/>
      <c r="G2" s="426"/>
      <c r="H2" s="427"/>
    </row>
    <row r="3" spans="1:12" ht="19" x14ac:dyDescent="0.25">
      <c r="A3" s="88" t="s">
        <v>82</v>
      </c>
      <c r="C3" s="425" t="s">
        <v>213</v>
      </c>
      <c r="D3" s="426"/>
      <c r="E3" s="426"/>
      <c r="F3" s="426"/>
      <c r="G3" s="426"/>
      <c r="H3" s="427"/>
    </row>
    <row r="4" spans="1:12" x14ac:dyDescent="0.2">
      <c r="B4" s="23"/>
    </row>
    <row r="6" spans="1:12" x14ac:dyDescent="0.2">
      <c r="B6" s="23"/>
      <c r="L6" s="19"/>
    </row>
    <row r="7" spans="1:12" x14ac:dyDescent="0.2">
      <c r="B7" s="23"/>
      <c r="L7" s="19"/>
    </row>
    <row r="8" spans="1:12" x14ac:dyDescent="0.2">
      <c r="B8" s="23"/>
      <c r="L8" s="19"/>
    </row>
    <row r="9" spans="1:12" x14ac:dyDescent="0.2">
      <c r="B9" s="23"/>
      <c r="L9" s="19"/>
    </row>
    <row r="10" spans="1:12" x14ac:dyDescent="0.2">
      <c r="B10" s="23"/>
    </row>
    <row r="11" spans="1:12" x14ac:dyDescent="0.2">
      <c r="B11" s="23"/>
    </row>
    <row r="12" spans="1:12" x14ac:dyDescent="0.2">
      <c r="B12" s="23"/>
    </row>
    <row r="13" spans="1:12" x14ac:dyDescent="0.2">
      <c r="B13" s="23"/>
    </row>
    <row r="14" spans="1:12" x14ac:dyDescent="0.2">
      <c r="B14" s="23"/>
    </row>
    <row r="15" spans="1:12" x14ac:dyDescent="0.2">
      <c r="B15" s="23"/>
    </row>
  </sheetData>
  <mergeCells count="2">
    <mergeCell ref="C2:H2"/>
    <mergeCell ref="C3:H3"/>
  </mergeCells>
  <pageMargins left="0.70866141732283472" right="0.70866141732283472" top="0.94488188976377963" bottom="0.74803149606299213" header="0.31496062992125984" footer="0.31496062992125984"/>
  <pageSetup paperSize="9" scale="80" orientation="landscape" horizontalDpi="1200" verticalDpi="1200" r:id="rId1"/>
  <headerFooter>
    <oddHeader>&amp;L&amp;G&amp;RGestion de projet</oddHeader>
    <oddFooter>&amp;L&amp;F&amp;C&amp;P&amp;RJGD/</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EEC4A-6203-4155-A344-BB1ED1485EE7}">
  <sheetPr>
    <tabColor theme="7" tint="0.79998168889431442"/>
  </sheetPr>
  <dimension ref="A1:L16"/>
  <sheetViews>
    <sheetView showGridLines="0" topLeftCell="A4" zoomScale="113" workbookViewId="0">
      <selection activeCell="K9" sqref="K9"/>
    </sheetView>
  </sheetViews>
  <sheetFormatPr baseColWidth="10" defaultColWidth="11.5" defaultRowHeight="15" x14ac:dyDescent="0.2"/>
  <cols>
    <col min="1" max="2" width="14.33203125" customWidth="1"/>
    <col min="3" max="3" width="34.5" customWidth="1"/>
    <col min="4" max="4" width="4.33203125" style="209" customWidth="1"/>
    <col min="5" max="5" width="6" style="209" customWidth="1"/>
    <col min="6" max="6" width="6.33203125" style="209" customWidth="1"/>
    <col min="7" max="7" width="5.6640625" style="209" customWidth="1"/>
    <col min="8" max="8" width="5.33203125" style="209" customWidth="1"/>
    <col min="9" max="10" width="4.33203125" style="209" customWidth="1"/>
    <col min="11" max="11" width="12.6640625" bestFit="1" customWidth="1"/>
  </cols>
  <sheetData>
    <row r="1" spans="1:12" ht="25" x14ac:dyDescent="0.25">
      <c r="A1" s="96" t="s">
        <v>83</v>
      </c>
    </row>
    <row r="2" spans="1:12" ht="19" x14ac:dyDescent="0.25">
      <c r="A2" s="87" t="s">
        <v>81</v>
      </c>
      <c r="C2" s="216" t="str">
        <f>IF(ISBLANK('Organigramme des tâches'!C2),"à remplir dans l'onglet Organigramme des tâches",'Organigramme des tâches'!C2)</f>
        <v>Site emprunt multimédia</v>
      </c>
    </row>
    <row r="3" spans="1:12" ht="19" x14ac:dyDescent="0.25">
      <c r="A3" s="88" t="s">
        <v>82</v>
      </c>
      <c r="C3" s="216" t="str">
        <f>IF(ISBLANK('Organigramme des tâches'!C3),"à remplir dans l'onglet Organigramme des tâches",'Organigramme des tâches'!C3)</f>
        <v>Cléo Forclaz</v>
      </c>
    </row>
    <row r="4" spans="1:12" ht="19" x14ac:dyDescent="0.25">
      <c r="A4" s="88"/>
      <c r="C4" s="1"/>
    </row>
    <row r="5" spans="1:12" ht="16" thickBot="1" x14ac:dyDescent="0.25"/>
    <row r="6" spans="1:12" ht="16" thickBot="1" x14ac:dyDescent="0.25">
      <c r="D6" s="428" t="s">
        <v>84</v>
      </c>
      <c r="E6" s="429"/>
      <c r="F6" s="429"/>
      <c r="G6" s="429"/>
      <c r="H6" s="429"/>
      <c r="I6" s="429"/>
      <c r="J6" s="430"/>
      <c r="K6" s="431" t="s">
        <v>85</v>
      </c>
      <c r="L6" s="432"/>
    </row>
    <row r="7" spans="1:12" ht="86" thickBot="1" x14ac:dyDescent="0.25">
      <c r="A7" s="210" t="s">
        <v>86</v>
      </c>
      <c r="B7" s="218" t="s">
        <v>87</v>
      </c>
      <c r="C7" s="211" t="s">
        <v>88</v>
      </c>
      <c r="D7" s="401" t="s">
        <v>89</v>
      </c>
      <c r="E7" s="402" t="s">
        <v>90</v>
      </c>
      <c r="F7" s="402" t="s">
        <v>223</v>
      </c>
      <c r="G7" s="402" t="s">
        <v>224</v>
      </c>
      <c r="H7" s="402" t="s">
        <v>225</v>
      </c>
      <c r="I7" s="402" t="s">
        <v>91</v>
      </c>
      <c r="J7" s="403" t="s">
        <v>92</v>
      </c>
      <c r="K7" s="240" t="s">
        <v>93</v>
      </c>
      <c r="L7" s="241" t="s">
        <v>94</v>
      </c>
    </row>
    <row r="8" spans="1:12" ht="15" hidden="1" customHeight="1" x14ac:dyDescent="0.2">
      <c r="A8" s="297"/>
      <c r="B8" s="298" t="s">
        <v>95</v>
      </c>
      <c r="C8" s="299" t="s">
        <v>96</v>
      </c>
      <c r="D8" s="300"/>
      <c r="E8" s="301"/>
      <c r="F8" s="301"/>
      <c r="G8" s="301"/>
      <c r="H8" s="301"/>
      <c r="I8" s="301"/>
      <c r="J8" s="302"/>
      <c r="K8" s="303"/>
      <c r="L8" s="304"/>
    </row>
    <row r="9" spans="1:12" x14ac:dyDescent="0.2">
      <c r="A9" s="331" t="s">
        <v>214</v>
      </c>
      <c r="B9" s="387" t="s">
        <v>215</v>
      </c>
      <c r="C9" s="388" t="s">
        <v>220</v>
      </c>
      <c r="D9" s="413">
        <v>0.1</v>
      </c>
      <c r="E9" s="389"/>
      <c r="F9" s="389"/>
      <c r="G9" s="389"/>
      <c r="H9" s="416">
        <v>1</v>
      </c>
      <c r="I9" s="389"/>
      <c r="J9" s="390"/>
      <c r="K9" s="243">
        <f>'Planning initial - 5'!E43</f>
        <v>0</v>
      </c>
      <c r="L9" s="244">
        <f>'Journal de bord'!F27</f>
        <v>2.9861111111111116E-2</v>
      </c>
    </row>
    <row r="10" spans="1:12" x14ac:dyDescent="0.2">
      <c r="A10" s="318" t="s">
        <v>216</v>
      </c>
      <c r="B10" s="391" t="s">
        <v>217</v>
      </c>
      <c r="C10" s="392" t="s">
        <v>222</v>
      </c>
      <c r="D10" s="414">
        <v>0.9</v>
      </c>
      <c r="E10" s="415">
        <v>1</v>
      </c>
      <c r="F10" s="415">
        <v>1</v>
      </c>
      <c r="G10" s="415">
        <v>1</v>
      </c>
      <c r="H10" s="394"/>
      <c r="I10" s="394"/>
      <c r="J10" s="395"/>
      <c r="K10" s="245">
        <f>'Planning initial - 5'!F43</f>
        <v>1.9270833333333333</v>
      </c>
      <c r="L10" s="246">
        <f>'Journal de bord'!G27</f>
        <v>0.44375000000000009</v>
      </c>
    </row>
    <row r="11" spans="1:12" x14ac:dyDescent="0.2">
      <c r="A11" s="318" t="s">
        <v>218</v>
      </c>
      <c r="B11" s="391" t="s">
        <v>219</v>
      </c>
      <c r="C11" s="392" t="s">
        <v>221</v>
      </c>
      <c r="D11" s="393"/>
      <c r="E11" s="394"/>
      <c r="F11" s="394"/>
      <c r="G11" s="394"/>
      <c r="H11" s="394"/>
      <c r="I11" s="394"/>
      <c r="J11" s="395"/>
      <c r="K11" s="245">
        <f>'Planning initial - 5'!G43</f>
        <v>0.33333333333333331</v>
      </c>
      <c r="L11" s="246">
        <f>'Journal de bord'!H27</f>
        <v>2.9861111111111116E-2</v>
      </c>
    </row>
    <row r="12" spans="1:12" x14ac:dyDescent="0.2">
      <c r="A12" s="318"/>
      <c r="B12" s="391"/>
      <c r="C12" s="392"/>
      <c r="D12" s="393"/>
      <c r="E12" s="394"/>
      <c r="F12" s="394"/>
      <c r="G12" s="394"/>
      <c r="H12" s="394"/>
      <c r="I12" s="394"/>
      <c r="J12" s="395"/>
      <c r="K12" s="245">
        <f>'Planning initial - 5'!H43</f>
        <v>0</v>
      </c>
      <c r="L12" s="246">
        <f>'Journal de bord'!I27</f>
        <v>0</v>
      </c>
    </row>
    <row r="13" spans="1:12" ht="16" thickBot="1" x14ac:dyDescent="0.25">
      <c r="A13" s="332"/>
      <c r="B13" s="396"/>
      <c r="C13" s="397"/>
      <c r="D13" s="398"/>
      <c r="E13" s="399"/>
      <c r="F13" s="399"/>
      <c r="G13" s="399"/>
      <c r="H13" s="399"/>
      <c r="I13" s="399"/>
      <c r="J13" s="400"/>
      <c r="K13" s="247">
        <f>'Planning initial - 5'!I43</f>
        <v>0</v>
      </c>
      <c r="L13" s="248">
        <f>'Journal de bord'!J27</f>
        <v>0</v>
      </c>
    </row>
    <row r="14" spans="1:12" ht="16" thickBot="1" x14ac:dyDescent="0.25">
      <c r="D14" s="205"/>
      <c r="E14" s="206"/>
      <c r="F14" s="206"/>
      <c r="G14" s="206"/>
      <c r="H14" s="206"/>
      <c r="I14" s="206"/>
      <c r="J14" s="207" t="s">
        <v>97</v>
      </c>
      <c r="K14" s="249">
        <f>SUM(K9:K13)</f>
        <v>2.2604166666666665</v>
      </c>
      <c r="L14" s="249">
        <f>SUM(L9:L13)</f>
        <v>0.50347222222222232</v>
      </c>
    </row>
    <row r="15" spans="1:12" x14ac:dyDescent="0.2">
      <c r="D15" s="208" t="str">
        <f>D7</f>
        <v>Chef de projet</v>
      </c>
      <c r="E15" s="208" t="str">
        <f t="shared" ref="E15:L15" si="0">E7</f>
        <v>Gestion de projet</v>
      </c>
      <c r="F15" s="208" t="str">
        <f t="shared" si="0"/>
        <v>Webmaster</v>
      </c>
      <c r="G15" s="208" t="str">
        <f t="shared" si="0"/>
        <v>Designer</v>
      </c>
      <c r="H15" s="208" t="str">
        <f t="shared" si="0"/>
        <v>Suppervision</v>
      </c>
      <c r="I15" s="208" t="str">
        <f t="shared" si="0"/>
        <v>Fonction 6</v>
      </c>
      <c r="J15" s="208" t="str">
        <f t="shared" si="0"/>
        <v>Fonction 7</v>
      </c>
      <c r="K15" s="208" t="str">
        <f t="shared" si="0"/>
        <v xml:space="preserve">planifiées dans planning initial-5
</v>
      </c>
      <c r="L15" s="208" t="str">
        <f t="shared" si="0"/>
        <v xml:space="preserve">effectuées dans journal de bord
</v>
      </c>
    </row>
    <row r="16" spans="1:12" x14ac:dyDescent="0.2">
      <c r="D16" s="209" t="s">
        <v>98</v>
      </c>
    </row>
  </sheetData>
  <mergeCells count="2">
    <mergeCell ref="D6:J6"/>
    <mergeCell ref="K6:L6"/>
  </mergeCells>
  <phoneticPr fontId="3" type="noConversion"/>
  <pageMargins left="0.70866141732283472" right="0.70866141732283472" top="0.94488188976377963" bottom="0.74803149606299213" header="0.31496062992125984" footer="0.31496062992125984"/>
  <pageSetup paperSize="9" orientation="portrait" horizontalDpi="4294967293" verticalDpi="4294967293" r:id="rId1"/>
  <headerFooter>
    <oddHeader>&amp;L&amp;G</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48D70-41A3-4ED5-AF5C-A1F60BC29F7F}">
  <sheetPr>
    <tabColor theme="5" tint="0.39997558519241921"/>
    <pageSetUpPr fitToPage="1"/>
  </sheetPr>
  <dimension ref="A1:DJ52"/>
  <sheetViews>
    <sheetView showGridLines="0" zoomScale="85" zoomScaleNormal="100" zoomScaleSheetLayoutView="100" workbookViewId="0">
      <pane xSplit="14" ySplit="12" topLeftCell="O14" activePane="bottomRight" state="frozen"/>
      <selection pane="topRight" activeCell="C6" sqref="C6"/>
      <selection pane="bottomLeft" activeCell="C6" sqref="C6"/>
      <selection pane="bottomRight" activeCell="H31" sqref="H31"/>
    </sheetView>
  </sheetViews>
  <sheetFormatPr baseColWidth="10" defaultColWidth="11.5" defaultRowHeight="13" x14ac:dyDescent="0.15"/>
  <cols>
    <col min="1" max="1" width="10.33203125" style="24" customWidth="1"/>
    <col min="2" max="2" width="6.6640625" style="24" customWidth="1"/>
    <col min="3" max="3" width="25.6640625" style="24" customWidth="1"/>
    <col min="4" max="4" width="10.6640625" style="24" customWidth="1"/>
    <col min="5" max="9" width="9.6640625" style="24" customWidth="1"/>
    <col min="10" max="10" width="10" style="24" customWidth="1"/>
    <col min="11" max="11" width="11.33203125" style="24" customWidth="1"/>
    <col min="12" max="12" width="22.6640625" style="24" customWidth="1"/>
    <col min="13" max="13" width="11.83203125" style="24" bestFit="1" customWidth="1"/>
    <col min="14" max="22" width="2.6640625" style="126" customWidth="1"/>
    <col min="23" max="23" width="3" style="126" customWidth="1"/>
    <col min="24" max="24" width="2.6640625" style="126" customWidth="1"/>
    <col min="25" max="114" width="2.6640625" style="24" customWidth="1"/>
    <col min="115" max="227" width="9.1640625" style="24" customWidth="1"/>
    <col min="228" max="16384" width="11.5" style="24"/>
  </cols>
  <sheetData>
    <row r="1" spans="1:114" ht="25" x14ac:dyDescent="0.25">
      <c r="A1" s="125" t="s">
        <v>99</v>
      </c>
      <c r="Q1" s="127"/>
      <c r="R1" s="127"/>
      <c r="S1" s="127"/>
      <c r="T1" s="127"/>
      <c r="U1" s="127"/>
      <c r="V1" s="127"/>
      <c r="W1" s="127"/>
      <c r="X1" s="127"/>
    </row>
    <row r="2" spans="1:114" s="130" customFormat="1" ht="18" customHeight="1" x14ac:dyDescent="0.25">
      <c r="A2" s="228" t="s">
        <v>81</v>
      </c>
      <c r="B2" s="138"/>
      <c r="C2" s="229" t="str">
        <f>IF(ISBLANK('Organigramme des tâches'!C2),"à remplir dans l'onglet Organigramme des tâches",'Organigramme des tâches'!C2)</f>
        <v>Site emprunt multimédia</v>
      </c>
      <c r="D2" s="128"/>
      <c r="E2" s="128"/>
      <c r="F2" s="128"/>
      <c r="G2" s="128"/>
      <c r="H2" s="128"/>
      <c r="I2" s="128"/>
      <c r="J2" s="128"/>
      <c r="K2" s="128"/>
      <c r="L2" s="128"/>
      <c r="M2" s="128"/>
      <c r="N2" s="129"/>
      <c r="Q2" s="131"/>
      <c r="R2" s="131"/>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row>
    <row r="3" spans="1:114" s="135" customFormat="1" ht="18" customHeight="1" x14ac:dyDescent="0.25">
      <c r="A3" s="133" t="s">
        <v>82</v>
      </c>
      <c r="B3" s="133"/>
      <c r="C3" s="229" t="str">
        <f>IF(ISBLANK('Organigramme des tâches'!C3),"à remplir dans l'onglet Organigramme des tâches",'Organigramme des tâches'!C3)</f>
        <v>Cléo Forclaz</v>
      </c>
      <c r="D3" s="134"/>
      <c r="E3" s="134"/>
      <c r="F3" s="134"/>
      <c r="G3" s="134"/>
      <c r="H3" s="134"/>
      <c r="I3" s="128"/>
      <c r="J3" s="134"/>
      <c r="L3" s="136"/>
      <c r="M3" s="136"/>
      <c r="N3" s="137"/>
      <c r="O3" s="138"/>
      <c r="P3" s="138"/>
      <c r="Q3" s="139"/>
      <c r="R3" s="139"/>
      <c r="S3" s="140"/>
      <c r="T3" s="140"/>
      <c r="U3" s="140"/>
      <c r="V3" s="194">
        <f>IF(V5=45,1/32,IF(V5=60,1/24,1/3))</f>
        <v>0.33333333333333331</v>
      </c>
      <c r="W3" s="140"/>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Z3" s="140"/>
      <c r="BJ3" s="140"/>
      <c r="BK3" s="142"/>
      <c r="BL3" s="142"/>
      <c r="BM3" s="142"/>
      <c r="BN3" s="142"/>
      <c r="BO3" s="142"/>
      <c r="BP3" s="142"/>
      <c r="BQ3" s="142"/>
      <c r="BR3" s="142"/>
      <c r="BS3" s="142"/>
      <c r="BT3" s="142"/>
      <c r="BU3" s="142"/>
      <c r="BV3" s="142"/>
      <c r="BW3" s="142"/>
      <c r="BX3" s="142"/>
    </row>
    <row r="4" spans="1:114" s="135" customFormat="1" ht="18" customHeight="1" x14ac:dyDescent="0.2">
      <c r="A4" s="143" t="s">
        <v>100</v>
      </c>
      <c r="B4" s="143"/>
      <c r="C4" s="342">
        <v>46288</v>
      </c>
      <c r="D4" s="144"/>
      <c r="E4" s="144"/>
      <c r="F4" s="144"/>
      <c r="G4" s="144"/>
      <c r="H4" s="144"/>
      <c r="I4" s="144"/>
      <c r="J4" s="144"/>
      <c r="K4" s="143"/>
      <c r="L4" s="145"/>
      <c r="M4" s="145"/>
      <c r="N4" s="146"/>
      <c r="O4" s="140"/>
      <c r="P4" s="140"/>
      <c r="Q4" s="140"/>
      <c r="R4" s="140"/>
      <c r="S4" s="140"/>
      <c r="T4" s="140"/>
      <c r="U4" s="231" t="s">
        <v>101</v>
      </c>
      <c r="V4" s="460" t="s">
        <v>102</v>
      </c>
      <c r="W4" s="461"/>
      <c r="X4" s="461"/>
      <c r="Y4" s="461"/>
      <c r="Z4" s="462"/>
    </row>
    <row r="5" spans="1:114" s="135" customFormat="1" ht="18" customHeight="1" x14ac:dyDescent="0.2">
      <c r="A5" s="143" t="s">
        <v>103</v>
      </c>
      <c r="B5" s="143"/>
      <c r="C5" s="343"/>
      <c r="D5" s="144"/>
      <c r="E5" s="144"/>
      <c r="F5" s="144"/>
      <c r="G5" s="144"/>
      <c r="H5" s="144"/>
      <c r="I5" s="144"/>
      <c r="J5" s="144"/>
      <c r="K5" s="143"/>
      <c r="L5" s="145"/>
      <c r="M5" s="145"/>
      <c r="N5" s="146"/>
      <c r="O5" s="140"/>
      <c r="P5" s="140"/>
      <c r="Q5" s="140"/>
      <c r="R5" s="140"/>
      <c r="S5" s="140"/>
      <c r="T5" s="230"/>
      <c r="U5" s="148" t="s">
        <v>104</v>
      </c>
      <c r="V5" s="408">
        <v>1</v>
      </c>
      <c r="W5" s="147" t="str">
        <f>IF(OR(V5=45,V5=60),"min","jour")</f>
        <v>jour</v>
      </c>
      <c r="X5" s="24"/>
      <c r="Y5" s="147" t="str">
        <f>IF(V5=45,"donc 1 période",IF(V5=60,"donc 1 heure","donc 1 journée complète de 8 heures"))</f>
        <v>donc 1 journée complète de 8 heures</v>
      </c>
      <c r="Z5" s="24"/>
      <c r="AA5" s="24"/>
      <c r="AB5" s="24"/>
      <c r="AC5" s="24"/>
      <c r="AD5" s="24"/>
      <c r="AE5" s="24"/>
      <c r="AF5" s="24"/>
      <c r="AG5" s="24"/>
      <c r="AH5" s="24"/>
      <c r="AI5" s="24"/>
      <c r="AJ5" s="24"/>
      <c r="AL5" s="24"/>
      <c r="AM5" s="24"/>
    </row>
    <row r="6" spans="1:114" s="135" customFormat="1" ht="18" customHeight="1" thickBot="1" x14ac:dyDescent="0.25">
      <c r="A6" s="143" t="s">
        <v>105</v>
      </c>
      <c r="B6" s="143"/>
      <c r="C6" s="344">
        <v>46279</v>
      </c>
      <c r="D6" s="144"/>
      <c r="E6" s="144"/>
      <c r="F6" s="144"/>
      <c r="G6" s="144"/>
      <c r="H6" s="144"/>
      <c r="I6" s="144"/>
      <c r="J6" s="144"/>
      <c r="K6" s="143"/>
      <c r="L6" s="145"/>
      <c r="M6" s="145"/>
      <c r="N6" s="146"/>
      <c r="O6" s="140"/>
      <c r="P6" s="147"/>
      <c r="Q6" s="24"/>
      <c r="R6" s="24"/>
      <c r="S6" s="24"/>
      <c r="T6" s="24"/>
      <c r="U6" s="148" t="s">
        <v>106</v>
      </c>
      <c r="V6" s="463" t="s">
        <v>95</v>
      </c>
      <c r="W6" s="464"/>
      <c r="X6" s="464"/>
      <c r="Y6" s="464"/>
      <c r="Z6" s="465"/>
      <c r="AA6" s="24"/>
      <c r="AB6" s="24"/>
      <c r="AC6" s="24"/>
      <c r="AD6" s="24"/>
      <c r="AE6" s="24"/>
      <c r="AF6" s="24"/>
      <c r="AG6" s="24"/>
      <c r="AH6" s="24"/>
      <c r="AI6" s="24"/>
      <c r="AJ6" s="24"/>
      <c r="AK6" s="24"/>
      <c r="AL6" s="24"/>
      <c r="AM6" s="24"/>
      <c r="AN6" s="24"/>
      <c r="AO6" s="24"/>
    </row>
    <row r="7" spans="1:114" ht="15" customHeight="1" thickBot="1" x14ac:dyDescent="0.2">
      <c r="A7" s="147"/>
      <c r="B7" s="147"/>
      <c r="J7" s="148"/>
      <c r="K7" s="147"/>
      <c r="L7" s="149"/>
      <c r="M7" s="149"/>
      <c r="N7" s="150" t="s">
        <v>107</v>
      </c>
      <c r="O7" s="435">
        <f>C6</f>
        <v>46279</v>
      </c>
      <c r="P7" s="436"/>
      <c r="Q7" s="436"/>
      <c r="R7" s="433">
        <f>IF($V$4="hebdomadaire",O7+4,"")</f>
        <v>46283</v>
      </c>
      <c r="S7" s="434"/>
      <c r="T7" s="435">
        <f>IF($V$4="hebdomadaire",O7+V8*7,O7+1)</f>
        <v>46286</v>
      </c>
      <c r="U7" s="436"/>
      <c r="V7" s="436"/>
      <c r="W7" s="433">
        <f>IF($V$4="hebdomadaire",T7+4,"")</f>
        <v>46290</v>
      </c>
      <c r="X7" s="434"/>
      <c r="Y7" s="435">
        <f t="shared" ref="Y7" si="0">IF($V$4="hebdomadaire",T7+AA8*7,T7+1)</f>
        <v>46293</v>
      </c>
      <c r="Z7" s="436"/>
      <c r="AA7" s="436"/>
      <c r="AB7" s="433">
        <f t="shared" ref="AB7" si="1">IF($V$4="hebdomadaire",Y7+4,"")</f>
        <v>46297</v>
      </c>
      <c r="AC7" s="434"/>
      <c r="AD7" s="435">
        <f t="shared" ref="AD7" si="2">IF($V$4="hebdomadaire",Y7+AF8*7,Y7+1)</f>
        <v>46300</v>
      </c>
      <c r="AE7" s="436"/>
      <c r="AF7" s="436"/>
      <c r="AG7" s="433">
        <f t="shared" ref="AG7" si="3">IF($V$4="hebdomadaire",AD7+4,"")</f>
        <v>46304</v>
      </c>
      <c r="AH7" s="434"/>
      <c r="AI7" s="435">
        <f t="shared" ref="AI7" si="4">IF($V$4="hebdomadaire",AD7+AK8*7,AD7+1)</f>
        <v>46307</v>
      </c>
      <c r="AJ7" s="436"/>
      <c r="AK7" s="436"/>
      <c r="AL7" s="433">
        <f t="shared" ref="AL7" si="5">IF($V$4="hebdomadaire",AI7+4,"")</f>
        <v>46311</v>
      </c>
      <c r="AM7" s="434"/>
      <c r="AN7" s="435">
        <f t="shared" ref="AN7" si="6">IF($V$4="hebdomadaire",AI7+AP8*7,AI7+1)</f>
        <v>46314</v>
      </c>
      <c r="AO7" s="436"/>
      <c r="AP7" s="436"/>
      <c r="AQ7" s="433">
        <f t="shared" ref="AQ7" si="7">IF($V$4="hebdomadaire",AN7+4,"")</f>
        <v>46318</v>
      </c>
      <c r="AR7" s="434"/>
      <c r="AS7" s="435">
        <f t="shared" ref="AS7" si="8">IF($V$4="hebdomadaire",AN7+AU8*7,AN7+1)</f>
        <v>46321</v>
      </c>
      <c r="AT7" s="436"/>
      <c r="AU7" s="436"/>
      <c r="AV7" s="433">
        <f t="shared" ref="AV7" si="9">IF($V$4="hebdomadaire",AS7+4,"")</f>
        <v>46325</v>
      </c>
      <c r="AW7" s="434"/>
      <c r="AX7" s="435">
        <f t="shared" ref="AX7" si="10">IF($V$4="hebdomadaire",AS7+AZ8*7,AS7+1)</f>
        <v>46328</v>
      </c>
      <c r="AY7" s="436"/>
      <c r="AZ7" s="436"/>
      <c r="BA7" s="433">
        <f t="shared" ref="BA7" si="11">IF($V$4="hebdomadaire",AX7+4,"")</f>
        <v>46332</v>
      </c>
      <c r="BB7" s="434"/>
      <c r="BC7" s="435">
        <f t="shared" ref="BC7" si="12">IF($V$4="hebdomadaire",AX7+BE8*7,AX7+1)</f>
        <v>46335</v>
      </c>
      <c r="BD7" s="436"/>
      <c r="BE7" s="436"/>
      <c r="BF7" s="433">
        <f t="shared" ref="BF7" si="13">IF($V$4="hebdomadaire",BC7+4,"")</f>
        <v>46339</v>
      </c>
      <c r="BG7" s="434"/>
      <c r="BH7" s="435">
        <f t="shared" ref="BH7" si="14">IF($V$4="hebdomadaire",BC7+BJ8*7,BC7+1)</f>
        <v>46342</v>
      </c>
      <c r="BI7" s="436"/>
      <c r="BJ7" s="436"/>
      <c r="BK7" s="433">
        <f t="shared" ref="BK7" si="15">IF($V$4="hebdomadaire",BH7+4,"")</f>
        <v>46346</v>
      </c>
      <c r="BL7" s="434"/>
      <c r="BM7" s="435">
        <f t="shared" ref="BM7" si="16">IF($V$4="hebdomadaire",BH7+BO8*7,BH7+1)</f>
        <v>46349</v>
      </c>
      <c r="BN7" s="436"/>
      <c r="BO7" s="436"/>
      <c r="BP7" s="433">
        <f t="shared" ref="BP7" si="17">IF($V$4="hebdomadaire",BM7+4,"")</f>
        <v>46353</v>
      </c>
      <c r="BQ7" s="434"/>
      <c r="BR7" s="435">
        <f t="shared" ref="BR7" si="18">IF($V$4="hebdomadaire",BM7+BT8*7,BM7+1)</f>
        <v>46356</v>
      </c>
      <c r="BS7" s="436"/>
      <c r="BT7" s="436"/>
      <c r="BU7" s="433">
        <f t="shared" ref="BU7" si="19">IF($V$4="hebdomadaire",BR7+4,"")</f>
        <v>46360</v>
      </c>
      <c r="BV7" s="434"/>
      <c r="BW7" s="435">
        <f t="shared" ref="BW7" si="20">IF($V$4="hebdomadaire",BR7+BY8*7,BR7+1)</f>
        <v>46363</v>
      </c>
      <c r="BX7" s="436"/>
      <c r="BY7" s="436"/>
      <c r="BZ7" s="433">
        <f t="shared" ref="BZ7" si="21">IF($V$4="hebdomadaire",BW7+4,"")</f>
        <v>46367</v>
      </c>
      <c r="CA7" s="434"/>
      <c r="CB7" s="435">
        <f t="shared" ref="CB7" si="22">IF($V$4="hebdomadaire",BW7+CD8*7,BW7+1)</f>
        <v>46370</v>
      </c>
      <c r="CC7" s="436"/>
      <c r="CD7" s="436"/>
      <c r="CE7" s="433">
        <f t="shared" ref="CE7" si="23">IF($V$4="hebdomadaire",CB7+4,"")</f>
        <v>46374</v>
      </c>
      <c r="CF7" s="434"/>
      <c r="CG7" s="435">
        <f t="shared" ref="CG7" si="24">IF($V$4="hebdomadaire",CB7+CI8*7,CB7+1)</f>
        <v>46377</v>
      </c>
      <c r="CH7" s="436"/>
      <c r="CI7" s="436"/>
      <c r="CJ7" s="433">
        <f t="shared" ref="CJ7" si="25">IF($V$4="hebdomadaire",CG7+4,"")</f>
        <v>46381</v>
      </c>
      <c r="CK7" s="434"/>
      <c r="CL7" s="435">
        <f t="shared" ref="CL7" si="26">IF($V$4="hebdomadaire",CG7+CN8*7,CG7+1)</f>
        <v>46384</v>
      </c>
      <c r="CM7" s="436"/>
      <c r="CN7" s="436"/>
      <c r="CO7" s="433">
        <f t="shared" ref="CO7" si="27">IF($V$4="hebdomadaire",CL7+4,"")</f>
        <v>46388</v>
      </c>
      <c r="CP7" s="434"/>
      <c r="CQ7" s="435">
        <f t="shared" ref="CQ7" si="28">IF($V$4="hebdomadaire",CL7+CS8*7,CL7+1)</f>
        <v>46391</v>
      </c>
      <c r="CR7" s="436"/>
      <c r="CS7" s="436"/>
      <c r="CT7" s="433">
        <f t="shared" ref="CT7" si="29">IF($V$4="hebdomadaire",CQ7+4,"")</f>
        <v>46395</v>
      </c>
      <c r="CU7" s="434"/>
      <c r="CV7" s="435">
        <f t="shared" ref="CV7" si="30">IF($V$4="hebdomadaire",CQ7+CX8*7,CQ7+1)</f>
        <v>46398</v>
      </c>
      <c r="CW7" s="436"/>
      <c r="CX7" s="436"/>
      <c r="CY7" s="433">
        <f t="shared" ref="CY7" si="31">IF($V$4="hebdomadaire",CV7+4,"")</f>
        <v>46402</v>
      </c>
      <c r="CZ7" s="434"/>
      <c r="DA7" s="435">
        <f t="shared" ref="DA7" si="32">IF($V$4="hebdomadaire",CV7+DC8*7,CV7+1)</f>
        <v>46405</v>
      </c>
      <c r="DB7" s="436"/>
      <c r="DC7" s="436"/>
      <c r="DD7" s="433">
        <f t="shared" ref="DD7" si="33">IF($V$4="hebdomadaire",DA7+4,"")</f>
        <v>46409</v>
      </c>
      <c r="DE7" s="434"/>
      <c r="DF7" s="435">
        <f t="shared" ref="DF7" si="34">IF($V$4="hebdomadaire",DA7+DH8*7,DA7+1)</f>
        <v>46412</v>
      </c>
      <c r="DG7" s="436"/>
      <c r="DH7" s="436"/>
      <c r="DI7" s="433">
        <f t="shared" ref="DI7" si="35">IF($V$4="hebdomadaire",DF7+4,"")</f>
        <v>46416</v>
      </c>
      <c r="DJ7" s="434"/>
    </row>
    <row r="8" spans="1:114" ht="15" customHeight="1" thickBot="1" x14ac:dyDescent="0.2">
      <c r="A8" s="147"/>
      <c r="B8" s="147"/>
      <c r="J8" s="148"/>
      <c r="K8" s="147"/>
      <c r="L8" s="149"/>
      <c r="M8" s="149"/>
      <c r="N8" s="150" t="s">
        <v>108</v>
      </c>
      <c r="O8" s="233"/>
      <c r="P8" s="234"/>
      <c r="Q8" s="235"/>
      <c r="R8" s="236"/>
      <c r="S8" s="237"/>
      <c r="T8" s="238"/>
      <c r="U8" s="239" t="s">
        <v>109</v>
      </c>
      <c r="V8" s="232">
        <v>1</v>
      </c>
      <c r="W8" s="466" t="str">
        <f>IF($V$4="hebdomadaire","sem","jour")</f>
        <v>sem</v>
      </c>
      <c r="X8" s="467"/>
      <c r="Y8" s="238"/>
      <c r="Z8" s="239" t="s">
        <v>109</v>
      </c>
      <c r="AA8" s="232">
        <v>1</v>
      </c>
      <c r="AB8" s="466" t="str">
        <f t="shared" ref="AB8" si="36">IF($V$4="hebdomadaire","sem","jour")</f>
        <v>sem</v>
      </c>
      <c r="AC8" s="467"/>
      <c r="AD8" s="238"/>
      <c r="AE8" s="239" t="s">
        <v>109</v>
      </c>
      <c r="AF8" s="232">
        <v>1</v>
      </c>
      <c r="AG8" s="466" t="str">
        <f t="shared" ref="AG8" si="37">IF($V$4="hebdomadaire","sem","jour")</f>
        <v>sem</v>
      </c>
      <c r="AH8" s="467"/>
      <c r="AI8" s="238"/>
      <c r="AJ8" s="239" t="s">
        <v>109</v>
      </c>
      <c r="AK8" s="232">
        <v>1</v>
      </c>
      <c r="AL8" s="466" t="str">
        <f t="shared" ref="AL8" si="38">IF($V$4="hebdomadaire","sem","jour")</f>
        <v>sem</v>
      </c>
      <c r="AM8" s="467"/>
      <c r="AN8" s="238"/>
      <c r="AO8" s="239" t="s">
        <v>109</v>
      </c>
      <c r="AP8" s="232">
        <v>1</v>
      </c>
      <c r="AQ8" s="466" t="str">
        <f t="shared" ref="AQ8" si="39">IF($V$4="hebdomadaire","sem","jour")</f>
        <v>sem</v>
      </c>
      <c r="AR8" s="467"/>
      <c r="AS8" s="238"/>
      <c r="AT8" s="239" t="s">
        <v>109</v>
      </c>
      <c r="AU8" s="232">
        <v>1</v>
      </c>
      <c r="AV8" s="466" t="str">
        <f t="shared" ref="AV8" si="40">IF($V$4="hebdomadaire","sem","jour")</f>
        <v>sem</v>
      </c>
      <c r="AW8" s="467"/>
      <c r="AX8" s="238"/>
      <c r="AY8" s="239" t="s">
        <v>109</v>
      </c>
      <c r="AZ8" s="232">
        <v>1</v>
      </c>
      <c r="BA8" s="466" t="str">
        <f t="shared" ref="BA8" si="41">IF($V$4="hebdomadaire","sem","jour")</f>
        <v>sem</v>
      </c>
      <c r="BB8" s="467"/>
      <c r="BC8" s="238"/>
      <c r="BD8" s="239" t="s">
        <v>109</v>
      </c>
      <c r="BE8" s="232">
        <v>1</v>
      </c>
      <c r="BF8" s="466" t="str">
        <f t="shared" ref="BF8" si="42">IF($V$4="hebdomadaire","sem","jour")</f>
        <v>sem</v>
      </c>
      <c r="BG8" s="467"/>
      <c r="BH8" s="238"/>
      <c r="BI8" s="239" t="s">
        <v>109</v>
      </c>
      <c r="BJ8" s="232">
        <v>1</v>
      </c>
      <c r="BK8" s="466" t="str">
        <f t="shared" ref="BK8" si="43">IF($V$4="hebdomadaire","sem","jour")</f>
        <v>sem</v>
      </c>
      <c r="BL8" s="467"/>
      <c r="BM8" s="238"/>
      <c r="BN8" s="239" t="s">
        <v>109</v>
      </c>
      <c r="BO8" s="232">
        <v>1</v>
      </c>
      <c r="BP8" s="466" t="str">
        <f t="shared" ref="BP8" si="44">IF($V$4="hebdomadaire","sem","jour")</f>
        <v>sem</v>
      </c>
      <c r="BQ8" s="467"/>
      <c r="BR8" s="238"/>
      <c r="BS8" s="239" t="s">
        <v>109</v>
      </c>
      <c r="BT8" s="232">
        <v>1</v>
      </c>
      <c r="BU8" s="466" t="str">
        <f t="shared" ref="BU8" si="45">IF($V$4="hebdomadaire","sem","jour")</f>
        <v>sem</v>
      </c>
      <c r="BV8" s="467"/>
      <c r="BW8" s="238"/>
      <c r="BX8" s="239" t="s">
        <v>109</v>
      </c>
      <c r="BY8" s="232">
        <v>1</v>
      </c>
      <c r="BZ8" s="466" t="str">
        <f t="shared" ref="BZ8" si="46">IF($V$4="hebdomadaire","sem","jour")</f>
        <v>sem</v>
      </c>
      <c r="CA8" s="467"/>
      <c r="CB8" s="238"/>
      <c r="CC8" s="239" t="s">
        <v>109</v>
      </c>
      <c r="CD8" s="232">
        <v>1</v>
      </c>
      <c r="CE8" s="466" t="str">
        <f t="shared" ref="CE8" si="47">IF($V$4="hebdomadaire","sem","jour")</f>
        <v>sem</v>
      </c>
      <c r="CF8" s="467"/>
      <c r="CG8" s="238"/>
      <c r="CH8" s="239" t="s">
        <v>109</v>
      </c>
      <c r="CI8" s="232">
        <v>1</v>
      </c>
      <c r="CJ8" s="466" t="str">
        <f t="shared" ref="CJ8" si="48">IF($V$4="hebdomadaire","sem","jour")</f>
        <v>sem</v>
      </c>
      <c r="CK8" s="467"/>
      <c r="CL8" s="238"/>
      <c r="CM8" s="239" t="s">
        <v>109</v>
      </c>
      <c r="CN8" s="232">
        <v>1</v>
      </c>
      <c r="CO8" s="466" t="str">
        <f t="shared" ref="CO8" si="49">IF($V$4="hebdomadaire","sem","jour")</f>
        <v>sem</v>
      </c>
      <c r="CP8" s="467"/>
      <c r="CQ8" s="238"/>
      <c r="CR8" s="239" t="s">
        <v>109</v>
      </c>
      <c r="CS8" s="232">
        <v>1</v>
      </c>
      <c r="CT8" s="466" t="str">
        <f t="shared" ref="CT8" si="50">IF($V$4="hebdomadaire","sem","jour")</f>
        <v>sem</v>
      </c>
      <c r="CU8" s="467"/>
      <c r="CV8" s="238"/>
      <c r="CW8" s="239" t="s">
        <v>109</v>
      </c>
      <c r="CX8" s="232">
        <v>1</v>
      </c>
      <c r="CY8" s="466" t="str">
        <f t="shared" ref="CY8" si="51">IF($V$4="hebdomadaire","sem","jour")</f>
        <v>sem</v>
      </c>
      <c r="CZ8" s="467"/>
      <c r="DA8" s="238"/>
      <c r="DB8" s="239" t="s">
        <v>109</v>
      </c>
      <c r="DC8" s="232">
        <v>1</v>
      </c>
      <c r="DD8" s="466" t="str">
        <f t="shared" ref="DD8" si="52">IF($V$4="hebdomadaire","sem","jour")</f>
        <v>sem</v>
      </c>
      <c r="DE8" s="467"/>
      <c r="DF8" s="238"/>
      <c r="DG8" s="239" t="s">
        <v>109</v>
      </c>
      <c r="DH8" s="232">
        <v>1</v>
      </c>
      <c r="DI8" s="466" t="str">
        <f t="shared" ref="DI8" si="53">IF($V$4="hebdomadaire","sem","jour")</f>
        <v>sem</v>
      </c>
      <c r="DJ8" s="467"/>
    </row>
    <row r="9" spans="1:114" ht="14" thickBot="1" x14ac:dyDescent="0.2">
      <c r="B9" s="150"/>
      <c r="C9" s="150"/>
      <c r="E9" s="150"/>
      <c r="H9" s="150"/>
      <c r="I9" s="150"/>
      <c r="J9" s="150"/>
      <c r="L9" s="151"/>
      <c r="M9" s="152"/>
      <c r="N9" s="150" t="s">
        <v>110</v>
      </c>
      <c r="O9" s="443">
        <v>1</v>
      </c>
      <c r="P9" s="444"/>
      <c r="Q9" s="444"/>
      <c r="R9" s="444"/>
      <c r="S9" s="445"/>
      <c r="T9" s="443">
        <f>O9+1</f>
        <v>2</v>
      </c>
      <c r="U9" s="444"/>
      <c r="V9" s="444"/>
      <c r="W9" s="444"/>
      <c r="X9" s="445"/>
      <c r="Y9" s="443">
        <f t="shared" ref="Y9" si="54">T9+1</f>
        <v>3</v>
      </c>
      <c r="Z9" s="444"/>
      <c r="AA9" s="444"/>
      <c r="AB9" s="444"/>
      <c r="AC9" s="445"/>
      <c r="AD9" s="443">
        <f t="shared" ref="AD9" si="55">Y9+1</f>
        <v>4</v>
      </c>
      <c r="AE9" s="444"/>
      <c r="AF9" s="444"/>
      <c r="AG9" s="444"/>
      <c r="AH9" s="445"/>
      <c r="AI9" s="443">
        <f t="shared" ref="AI9" si="56">AD9+1</f>
        <v>5</v>
      </c>
      <c r="AJ9" s="444"/>
      <c r="AK9" s="444"/>
      <c r="AL9" s="444"/>
      <c r="AM9" s="445"/>
      <c r="AN9" s="443">
        <f t="shared" ref="AN9" si="57">AI9+1</f>
        <v>6</v>
      </c>
      <c r="AO9" s="444"/>
      <c r="AP9" s="444"/>
      <c r="AQ9" s="444"/>
      <c r="AR9" s="445"/>
      <c r="AS9" s="443">
        <f t="shared" ref="AS9" si="58">AN9+1</f>
        <v>7</v>
      </c>
      <c r="AT9" s="444"/>
      <c r="AU9" s="444"/>
      <c r="AV9" s="444"/>
      <c r="AW9" s="445"/>
      <c r="AX9" s="443">
        <f t="shared" ref="AX9" si="59">AS9+1</f>
        <v>8</v>
      </c>
      <c r="AY9" s="444"/>
      <c r="AZ9" s="444"/>
      <c r="BA9" s="444"/>
      <c r="BB9" s="445"/>
      <c r="BC9" s="443">
        <f t="shared" ref="BC9" si="60">AX9+1</f>
        <v>9</v>
      </c>
      <c r="BD9" s="444"/>
      <c r="BE9" s="444"/>
      <c r="BF9" s="444"/>
      <c r="BG9" s="445"/>
      <c r="BH9" s="443">
        <f t="shared" ref="BH9" si="61">BC9+1</f>
        <v>10</v>
      </c>
      <c r="BI9" s="444"/>
      <c r="BJ9" s="444"/>
      <c r="BK9" s="444"/>
      <c r="BL9" s="445"/>
      <c r="BM9" s="443">
        <f t="shared" ref="BM9" si="62">BH9+1</f>
        <v>11</v>
      </c>
      <c r="BN9" s="444"/>
      <c r="BO9" s="444"/>
      <c r="BP9" s="444"/>
      <c r="BQ9" s="445"/>
      <c r="BR9" s="443">
        <f t="shared" ref="BR9" si="63">BM9+1</f>
        <v>12</v>
      </c>
      <c r="BS9" s="444"/>
      <c r="BT9" s="444"/>
      <c r="BU9" s="444"/>
      <c r="BV9" s="445"/>
      <c r="BW9" s="443">
        <f t="shared" ref="BW9" si="64">BR9+1</f>
        <v>13</v>
      </c>
      <c r="BX9" s="444"/>
      <c r="BY9" s="444"/>
      <c r="BZ9" s="444"/>
      <c r="CA9" s="445"/>
      <c r="CB9" s="443">
        <f t="shared" ref="CB9" si="65">BW9+1</f>
        <v>14</v>
      </c>
      <c r="CC9" s="444"/>
      <c r="CD9" s="444"/>
      <c r="CE9" s="444"/>
      <c r="CF9" s="445"/>
      <c r="CG9" s="443">
        <f t="shared" ref="CG9" si="66">CB9+1</f>
        <v>15</v>
      </c>
      <c r="CH9" s="444"/>
      <c r="CI9" s="444"/>
      <c r="CJ9" s="444"/>
      <c r="CK9" s="445"/>
      <c r="CL9" s="443">
        <f t="shared" ref="CL9" si="67">CG9+1</f>
        <v>16</v>
      </c>
      <c r="CM9" s="444"/>
      <c r="CN9" s="444"/>
      <c r="CO9" s="444"/>
      <c r="CP9" s="445"/>
      <c r="CQ9" s="443">
        <f t="shared" ref="CQ9" si="68">CL9+1</f>
        <v>17</v>
      </c>
      <c r="CR9" s="444"/>
      <c r="CS9" s="444"/>
      <c r="CT9" s="444"/>
      <c r="CU9" s="445"/>
      <c r="CV9" s="443">
        <f t="shared" ref="CV9" si="69">CQ9+1</f>
        <v>18</v>
      </c>
      <c r="CW9" s="444"/>
      <c r="CX9" s="444"/>
      <c r="CY9" s="444"/>
      <c r="CZ9" s="445"/>
      <c r="DA9" s="443">
        <f t="shared" ref="DA9" si="70">CV9+1</f>
        <v>19</v>
      </c>
      <c r="DB9" s="444"/>
      <c r="DC9" s="444"/>
      <c r="DD9" s="444"/>
      <c r="DE9" s="445"/>
      <c r="DF9" s="443">
        <f t="shared" ref="DF9" si="71">DA9+1</f>
        <v>20</v>
      </c>
      <c r="DG9" s="444"/>
      <c r="DH9" s="444"/>
      <c r="DI9" s="444"/>
      <c r="DJ9" s="445"/>
    </row>
    <row r="10" spans="1:114" ht="14" thickBot="1" x14ac:dyDescent="0.2">
      <c r="E10" s="457" t="s">
        <v>111</v>
      </c>
      <c r="F10" s="458"/>
      <c r="G10" s="458"/>
      <c r="H10" s="458"/>
      <c r="I10" s="459"/>
      <c r="M10" s="152"/>
      <c r="N10" s="150" t="s">
        <v>112</v>
      </c>
      <c r="O10" s="446"/>
      <c r="P10" s="447"/>
      <c r="Q10" s="447"/>
      <c r="R10" s="447"/>
      <c r="S10" s="448"/>
      <c r="T10" s="446"/>
      <c r="U10" s="447"/>
      <c r="V10" s="447"/>
      <c r="W10" s="447"/>
      <c r="X10" s="448"/>
      <c r="Y10" s="446"/>
      <c r="Z10" s="447"/>
      <c r="AA10" s="447"/>
      <c r="AB10" s="447"/>
      <c r="AC10" s="448"/>
      <c r="AD10" s="446"/>
      <c r="AE10" s="447"/>
      <c r="AF10" s="447"/>
      <c r="AG10" s="447"/>
      <c r="AH10" s="448"/>
      <c r="AI10" s="446"/>
      <c r="AJ10" s="447"/>
      <c r="AK10" s="447"/>
      <c r="AL10" s="447"/>
      <c r="AM10" s="448"/>
      <c r="AN10" s="446"/>
      <c r="AO10" s="447"/>
      <c r="AP10" s="447"/>
      <c r="AQ10" s="447"/>
      <c r="AR10" s="448"/>
      <c r="AS10" s="446"/>
      <c r="AT10" s="447"/>
      <c r="AU10" s="447"/>
      <c r="AV10" s="447"/>
      <c r="AW10" s="448"/>
      <c r="AX10" s="446"/>
      <c r="AY10" s="447"/>
      <c r="AZ10" s="447"/>
      <c r="BA10" s="447"/>
      <c r="BB10" s="448"/>
      <c r="BC10" s="446"/>
      <c r="BD10" s="447"/>
      <c r="BE10" s="447"/>
      <c r="BF10" s="447"/>
      <c r="BG10" s="448"/>
      <c r="BH10" s="446"/>
      <c r="BI10" s="447"/>
      <c r="BJ10" s="447"/>
      <c r="BK10" s="447"/>
      <c r="BL10" s="448"/>
      <c r="BM10" s="446" t="s">
        <v>113</v>
      </c>
      <c r="BN10" s="447"/>
      <c r="BO10" s="447"/>
      <c r="BP10" s="447"/>
      <c r="BQ10" s="448"/>
      <c r="BR10" s="446" t="s">
        <v>113</v>
      </c>
      <c r="BS10" s="447"/>
      <c r="BT10" s="447"/>
      <c r="BU10" s="447"/>
      <c r="BV10" s="448"/>
      <c r="BW10" s="446"/>
      <c r="BX10" s="447"/>
      <c r="BY10" s="447"/>
      <c r="BZ10" s="447"/>
      <c r="CA10" s="448"/>
      <c r="CB10" s="446"/>
      <c r="CC10" s="447"/>
      <c r="CD10" s="447"/>
      <c r="CE10" s="447"/>
      <c r="CF10" s="448"/>
      <c r="CG10" s="446"/>
      <c r="CH10" s="447"/>
      <c r="CI10" s="447"/>
      <c r="CJ10" s="447"/>
      <c r="CK10" s="448"/>
      <c r="CL10" s="446" t="s">
        <v>114</v>
      </c>
      <c r="CM10" s="447"/>
      <c r="CN10" s="447"/>
      <c r="CO10" s="447"/>
      <c r="CP10" s="448"/>
      <c r="CQ10" s="446"/>
      <c r="CR10" s="447"/>
      <c r="CS10" s="447"/>
      <c r="CT10" s="447"/>
      <c r="CU10" s="448"/>
      <c r="CV10" s="446" t="s">
        <v>115</v>
      </c>
      <c r="CW10" s="447"/>
      <c r="CX10" s="447"/>
      <c r="CY10" s="447"/>
      <c r="CZ10" s="448"/>
      <c r="DA10" s="446"/>
      <c r="DB10" s="447"/>
      <c r="DC10" s="447"/>
      <c r="DD10" s="447"/>
      <c r="DE10" s="448"/>
      <c r="DF10" s="446" t="s">
        <v>116</v>
      </c>
      <c r="DG10" s="447"/>
      <c r="DH10" s="447"/>
      <c r="DI10" s="447"/>
      <c r="DJ10" s="448"/>
    </row>
    <row r="11" spans="1:114" ht="12" customHeight="1" thickBot="1" x14ac:dyDescent="0.2">
      <c r="A11" s="455" t="s">
        <v>117</v>
      </c>
      <c r="B11" s="153" t="s">
        <v>118</v>
      </c>
      <c r="C11" s="154"/>
      <c r="D11" s="155" t="s">
        <v>119</v>
      </c>
      <c r="E11" s="156" t="str">
        <f>Ressources!B9</f>
        <v>Alain</v>
      </c>
      <c r="F11" s="157" t="str">
        <f>Ressources!B10</f>
        <v>Cléo</v>
      </c>
      <c r="G11" s="158" t="str">
        <f>Ressources!B11</f>
        <v>Mathieu</v>
      </c>
      <c r="H11" s="159">
        <f>Ressources!B12</f>
        <v>0</v>
      </c>
      <c r="I11" s="160">
        <f>Ressources!B13</f>
        <v>0</v>
      </c>
      <c r="J11" s="155" t="s">
        <v>97</v>
      </c>
      <c r="K11" s="161" t="s">
        <v>120</v>
      </c>
      <c r="L11" s="162" t="s">
        <v>88</v>
      </c>
      <c r="M11" s="163" t="s">
        <v>95</v>
      </c>
      <c r="N11" s="164"/>
      <c r="O11" s="453">
        <f>IF($V5=45,"P1",IF($V5=60,"H1",O7))</f>
        <v>46279</v>
      </c>
      <c r="P11" s="449">
        <f>IF($V5=45,"P2",IF($V5=60,"H2",O7+1))</f>
        <v>46280</v>
      </c>
      <c r="Q11" s="449">
        <f>IF($V5=45,"P3",IF($V5=60,"H3",O7+2))</f>
        <v>46281</v>
      </c>
      <c r="R11" s="449">
        <f>IF($V5=45,"P4",IF($V5=60,"H4",O7+3))</f>
        <v>46282</v>
      </c>
      <c r="S11" s="451">
        <f>IF($V5=45,"P5",IF($V5=60,"H5",O7+4))</f>
        <v>46283</v>
      </c>
      <c r="T11" s="453">
        <f t="shared" ref="T11" si="72">IF($V5=45,"P1",IF($V5=60,"H1",T7))</f>
        <v>46286</v>
      </c>
      <c r="U11" s="449">
        <f t="shared" ref="U11" si="73">IF($V5=45,"P2",IF($V5=60,"H2",T7+1))</f>
        <v>46287</v>
      </c>
      <c r="V11" s="449">
        <f t="shared" ref="V11" si="74">IF($V5=45,"P3",IF($V5=60,"H3",T7+2))</f>
        <v>46288</v>
      </c>
      <c r="W11" s="449">
        <f t="shared" ref="W11" si="75">IF($V5=45,"P4",IF($V5=60,"H4",T7+3))</f>
        <v>46289</v>
      </c>
      <c r="X11" s="451">
        <f t="shared" ref="X11" si="76">IF($V5=45,"P5",IF($V5=60,"H5",T7+4))</f>
        <v>46290</v>
      </c>
      <c r="Y11" s="453">
        <f t="shared" ref="Y11" si="77">IF($V5=45,"P1",IF($V5=60,"H1",Y7))</f>
        <v>46293</v>
      </c>
      <c r="Z11" s="449">
        <f t="shared" ref="Z11" si="78">IF($V5=45,"P2",IF($V5=60,"H2",Y7+1))</f>
        <v>46294</v>
      </c>
      <c r="AA11" s="449">
        <f t="shared" ref="AA11" si="79">IF($V5=45,"P3",IF($V5=60,"H3",Y7+2))</f>
        <v>46295</v>
      </c>
      <c r="AB11" s="449">
        <f t="shared" ref="AB11" si="80">IF($V5=45,"P4",IF($V5=60,"H4",Y7+3))</f>
        <v>46296</v>
      </c>
      <c r="AC11" s="451">
        <f t="shared" ref="AC11" si="81">IF($V5=45,"P5",IF($V5=60,"H5",Y7+4))</f>
        <v>46297</v>
      </c>
      <c r="AD11" s="453">
        <f t="shared" ref="AD11" si="82">IF($V5=45,"P1",IF($V5=60,"H1",AD7))</f>
        <v>46300</v>
      </c>
      <c r="AE11" s="449">
        <f t="shared" ref="AE11" si="83">IF($V5=45,"P2",IF($V5=60,"H2",AD7+1))</f>
        <v>46301</v>
      </c>
      <c r="AF11" s="449">
        <f t="shared" ref="AF11" si="84">IF($V5=45,"P3",IF($V5=60,"H3",AD7+2))</f>
        <v>46302</v>
      </c>
      <c r="AG11" s="449">
        <f t="shared" ref="AG11" si="85">IF($V5=45,"P4",IF($V5=60,"H4",AD7+3))</f>
        <v>46303</v>
      </c>
      <c r="AH11" s="451">
        <f t="shared" ref="AH11" si="86">IF($V5=45,"P5",IF($V5=60,"H5",AD7+4))</f>
        <v>46304</v>
      </c>
      <c r="AI11" s="453">
        <f t="shared" ref="AI11" si="87">IF($V5=45,"P1",IF($V5=60,"H1",AI7))</f>
        <v>46307</v>
      </c>
      <c r="AJ11" s="449">
        <f t="shared" ref="AJ11" si="88">IF($V5=45,"P2",IF($V5=60,"H2",AI7+1))</f>
        <v>46308</v>
      </c>
      <c r="AK11" s="449">
        <f t="shared" ref="AK11" si="89">IF($V5=45,"P3",IF($V5=60,"H3",AI7+2))</f>
        <v>46309</v>
      </c>
      <c r="AL11" s="449">
        <f t="shared" ref="AL11" si="90">IF($V5=45,"P4",IF($V5=60,"H4",AI7+3))</f>
        <v>46310</v>
      </c>
      <c r="AM11" s="451">
        <f t="shared" ref="AM11" si="91">IF($V5=45,"P5",IF($V5=60,"H5",AI7+4))</f>
        <v>46311</v>
      </c>
      <c r="AN11" s="453">
        <f t="shared" ref="AN11" si="92">IF($V5=45,"P1",IF($V5=60,"H1",AN7))</f>
        <v>46314</v>
      </c>
      <c r="AO11" s="449">
        <f t="shared" ref="AO11" si="93">IF($V5=45,"P2",IF($V5=60,"H2",AN7+1))</f>
        <v>46315</v>
      </c>
      <c r="AP11" s="449">
        <f t="shared" ref="AP11" si="94">IF($V5=45,"P3",IF($V5=60,"H3",AN7+2))</f>
        <v>46316</v>
      </c>
      <c r="AQ11" s="449">
        <f t="shared" ref="AQ11" si="95">IF($V5=45,"P4",IF($V5=60,"H4",AN7+3))</f>
        <v>46317</v>
      </c>
      <c r="AR11" s="451">
        <f t="shared" ref="AR11" si="96">IF($V5=45,"P5",IF($V5=60,"H5",AN7+4))</f>
        <v>46318</v>
      </c>
      <c r="AS11" s="453">
        <f t="shared" ref="AS11" si="97">IF($V5=45,"P1",IF($V5=60,"H1",AS7))</f>
        <v>46321</v>
      </c>
      <c r="AT11" s="449">
        <f t="shared" ref="AT11" si="98">IF($V5=45,"P2",IF($V5=60,"H2",AS7+1))</f>
        <v>46322</v>
      </c>
      <c r="AU11" s="449">
        <f t="shared" ref="AU11" si="99">IF($V5=45,"P3",IF($V5=60,"H3",AS7+2))</f>
        <v>46323</v>
      </c>
      <c r="AV11" s="449">
        <f t="shared" ref="AV11" si="100">IF($V5=45,"P4",IF($V5=60,"H4",AS7+3))</f>
        <v>46324</v>
      </c>
      <c r="AW11" s="451">
        <f t="shared" ref="AW11" si="101">IF($V5=45,"P5",IF($V5=60,"H5",AS7+4))</f>
        <v>46325</v>
      </c>
      <c r="AX11" s="453">
        <f t="shared" ref="AX11" si="102">IF($V5=45,"P1",IF($V5=60,"H1",AX7))</f>
        <v>46328</v>
      </c>
      <c r="AY11" s="449">
        <f t="shared" ref="AY11" si="103">IF($V5=45,"P2",IF($V5=60,"H2",AX7+1))</f>
        <v>46329</v>
      </c>
      <c r="AZ11" s="449">
        <f t="shared" ref="AZ11" si="104">IF($V5=45,"P3",IF($V5=60,"H3",AX7+2))</f>
        <v>46330</v>
      </c>
      <c r="BA11" s="449">
        <f t="shared" ref="BA11" si="105">IF($V5=45,"P4",IF($V5=60,"H4",AX7+3))</f>
        <v>46331</v>
      </c>
      <c r="BB11" s="451">
        <f t="shared" ref="BB11" si="106">IF($V5=45,"P5",IF($V5=60,"H5",AX7+4))</f>
        <v>46332</v>
      </c>
      <c r="BC11" s="453">
        <f t="shared" ref="BC11" si="107">IF($V5=45,"P1",IF($V5=60,"H1",BC7))</f>
        <v>46335</v>
      </c>
      <c r="BD11" s="449">
        <f t="shared" ref="BD11" si="108">IF($V5=45,"P2",IF($V5=60,"H2",BC7+1))</f>
        <v>46336</v>
      </c>
      <c r="BE11" s="449">
        <f t="shared" ref="BE11" si="109">IF($V5=45,"P3",IF($V5=60,"H3",BC7+2))</f>
        <v>46337</v>
      </c>
      <c r="BF11" s="449">
        <f t="shared" ref="BF11" si="110">IF($V5=45,"P4",IF($V5=60,"H4",BC7+3))</f>
        <v>46338</v>
      </c>
      <c r="BG11" s="451">
        <f t="shared" ref="BG11" si="111">IF($V5=45,"P5",IF($V5=60,"H5",BC7+4))</f>
        <v>46339</v>
      </c>
      <c r="BH11" s="453">
        <f t="shared" ref="BH11" si="112">IF($V5=45,"P1",IF($V5=60,"H1",BH7))</f>
        <v>46342</v>
      </c>
      <c r="BI11" s="449">
        <f t="shared" ref="BI11" si="113">IF($V5=45,"P2",IF($V5=60,"H2",BH7+1))</f>
        <v>46343</v>
      </c>
      <c r="BJ11" s="449">
        <f t="shared" ref="BJ11" si="114">IF($V5=45,"P3",IF($V5=60,"H3",BH7+2))</f>
        <v>46344</v>
      </c>
      <c r="BK11" s="449">
        <f t="shared" ref="BK11" si="115">IF($V5=45,"P4",IF($V5=60,"H4",BH7+3))</f>
        <v>46345</v>
      </c>
      <c r="BL11" s="451">
        <f t="shared" ref="BL11" si="116">IF($V5=45,"P5",IF($V5=60,"H5",BH7+4))</f>
        <v>46346</v>
      </c>
      <c r="BM11" s="453">
        <f t="shared" ref="BM11" si="117">IF($V5=45,"P1",IF($V5=60,"H1",BM7))</f>
        <v>46349</v>
      </c>
      <c r="BN11" s="449">
        <f t="shared" ref="BN11" si="118">IF($V5=45,"P2",IF($V5=60,"H2",BM7+1))</f>
        <v>46350</v>
      </c>
      <c r="BO11" s="449">
        <f t="shared" ref="BO11" si="119">IF($V5=45,"P3",IF($V5=60,"H3",BM7+2))</f>
        <v>46351</v>
      </c>
      <c r="BP11" s="449">
        <f t="shared" ref="BP11" si="120">IF($V5=45,"P4",IF($V5=60,"H4",BM7+3))</f>
        <v>46352</v>
      </c>
      <c r="BQ11" s="451">
        <f t="shared" ref="BQ11" si="121">IF($V5=45,"P5",IF($V5=60,"H5",BM7+4))</f>
        <v>46353</v>
      </c>
      <c r="BR11" s="453">
        <f t="shared" ref="BR11" si="122">IF($V5=45,"P1",IF($V5=60,"H1",BR7))</f>
        <v>46356</v>
      </c>
      <c r="BS11" s="449">
        <f t="shared" ref="BS11" si="123">IF($V5=45,"P2",IF($V5=60,"H2",BR7+1))</f>
        <v>46357</v>
      </c>
      <c r="BT11" s="449">
        <f t="shared" ref="BT11" si="124">IF($V5=45,"P3",IF($V5=60,"H3",BR7+2))</f>
        <v>46358</v>
      </c>
      <c r="BU11" s="449">
        <f t="shared" ref="BU11" si="125">IF($V5=45,"P4",IF($V5=60,"H4",BR7+3))</f>
        <v>46359</v>
      </c>
      <c r="BV11" s="451">
        <f t="shared" ref="BV11" si="126">IF($V5=45,"P5",IF($V5=60,"H5",BR7+4))</f>
        <v>46360</v>
      </c>
      <c r="BW11" s="453">
        <f t="shared" ref="BW11" si="127">IF($V5=45,"P1",IF($V5=60,"H1",BW7))</f>
        <v>46363</v>
      </c>
      <c r="BX11" s="449">
        <f t="shared" ref="BX11" si="128">IF($V5=45,"P2",IF($V5=60,"H2",BW7+1))</f>
        <v>46364</v>
      </c>
      <c r="BY11" s="449">
        <f t="shared" ref="BY11" si="129">IF($V5=45,"P3",IF($V5=60,"H3",BW7+2))</f>
        <v>46365</v>
      </c>
      <c r="BZ11" s="449">
        <f t="shared" ref="BZ11" si="130">IF($V5=45,"P4",IF($V5=60,"H4",BW7+3))</f>
        <v>46366</v>
      </c>
      <c r="CA11" s="451">
        <f t="shared" ref="CA11" si="131">IF($V5=45,"P5",IF($V5=60,"H5",BW7+4))</f>
        <v>46367</v>
      </c>
      <c r="CB11" s="453">
        <f t="shared" ref="CB11" si="132">IF($V5=45,"P1",IF($V5=60,"H1",CB7))</f>
        <v>46370</v>
      </c>
      <c r="CC11" s="449">
        <f t="shared" ref="CC11" si="133">IF($V5=45,"P2",IF($V5=60,"H2",CB7+1))</f>
        <v>46371</v>
      </c>
      <c r="CD11" s="449">
        <f t="shared" ref="CD11" si="134">IF($V5=45,"P3",IF($V5=60,"H3",CB7+2))</f>
        <v>46372</v>
      </c>
      <c r="CE11" s="449">
        <f t="shared" ref="CE11" si="135">IF($V5=45,"P4",IF($V5=60,"H4",CB7+3))</f>
        <v>46373</v>
      </c>
      <c r="CF11" s="451">
        <f t="shared" ref="CF11" si="136">IF($V5=45,"P5",IF($V5=60,"H5",CB7+4))</f>
        <v>46374</v>
      </c>
      <c r="CG11" s="453">
        <f t="shared" ref="CG11" si="137">IF($V5=45,"P1",IF($V5=60,"H1",CG7))</f>
        <v>46377</v>
      </c>
      <c r="CH11" s="449">
        <f t="shared" ref="CH11" si="138">IF($V5=45,"P2",IF($V5=60,"H2",CG7+1))</f>
        <v>46378</v>
      </c>
      <c r="CI11" s="449">
        <f t="shared" ref="CI11" si="139">IF($V5=45,"P3",IF($V5=60,"H3",CG7+2))</f>
        <v>46379</v>
      </c>
      <c r="CJ11" s="449">
        <f t="shared" ref="CJ11" si="140">IF($V5=45,"P4",IF($V5=60,"H4",CG7+3))</f>
        <v>46380</v>
      </c>
      <c r="CK11" s="451">
        <f t="shared" ref="CK11" si="141">IF($V5=45,"P5",IF($V5=60,"H5",CG7+4))</f>
        <v>46381</v>
      </c>
      <c r="CL11" s="453">
        <f t="shared" ref="CL11" si="142">IF($V5=45,"P1",IF($V5=60,"H1",CL7))</f>
        <v>46384</v>
      </c>
      <c r="CM11" s="449">
        <f t="shared" ref="CM11" si="143">IF($V5=45,"P2",IF($V5=60,"H2",CL7+1))</f>
        <v>46385</v>
      </c>
      <c r="CN11" s="449">
        <f t="shared" ref="CN11" si="144">IF($V5=45,"P3",IF($V5=60,"H3",CL7+2))</f>
        <v>46386</v>
      </c>
      <c r="CO11" s="449">
        <f t="shared" ref="CO11" si="145">IF($V5=45,"P4",IF($V5=60,"H4",CL7+3))</f>
        <v>46387</v>
      </c>
      <c r="CP11" s="451">
        <f t="shared" ref="CP11" si="146">IF($V5=45,"P5",IF($V5=60,"H5",CL7+4))</f>
        <v>46388</v>
      </c>
      <c r="CQ11" s="453">
        <f t="shared" ref="CQ11" si="147">IF($V5=45,"P1",IF($V5=60,"H1",CQ7))</f>
        <v>46391</v>
      </c>
      <c r="CR11" s="449">
        <f t="shared" ref="CR11" si="148">IF($V5=45,"P2",IF($V5=60,"H2",CQ7+1))</f>
        <v>46392</v>
      </c>
      <c r="CS11" s="449">
        <f t="shared" ref="CS11" si="149">IF($V5=45,"P3",IF($V5=60,"H3",CQ7+2))</f>
        <v>46393</v>
      </c>
      <c r="CT11" s="449">
        <f t="shared" ref="CT11" si="150">IF($V5=45,"P4",IF($V5=60,"H4",CQ7+3))</f>
        <v>46394</v>
      </c>
      <c r="CU11" s="451">
        <f t="shared" ref="CU11" si="151">IF($V5=45,"P5",IF($V5=60,"H5",CQ7+4))</f>
        <v>46395</v>
      </c>
      <c r="CV11" s="453">
        <f t="shared" ref="CV11" si="152">IF($V5=45,"P1",IF($V5=60,"H1",CV7))</f>
        <v>46398</v>
      </c>
      <c r="CW11" s="449">
        <f t="shared" ref="CW11" si="153">IF($V5=45,"P2",IF($V5=60,"H2",CV7+1))</f>
        <v>46399</v>
      </c>
      <c r="CX11" s="449">
        <f t="shared" ref="CX11" si="154">IF($V5=45,"P3",IF($V5=60,"H3",CV7+2))</f>
        <v>46400</v>
      </c>
      <c r="CY11" s="449">
        <f t="shared" ref="CY11" si="155">IF($V5=45,"P4",IF($V5=60,"H4",CV7+3))</f>
        <v>46401</v>
      </c>
      <c r="CZ11" s="451">
        <f t="shared" ref="CZ11" si="156">IF($V5=45,"P5",IF($V5=60,"H5",CV7+4))</f>
        <v>46402</v>
      </c>
      <c r="DA11" s="453">
        <f t="shared" ref="DA11" si="157">IF($V5=45,"P1",IF($V5=60,"H1",DA7))</f>
        <v>46405</v>
      </c>
      <c r="DB11" s="449">
        <f t="shared" ref="DB11" si="158">IF($V5=45,"P2",IF($V5=60,"H2",DA7+1))</f>
        <v>46406</v>
      </c>
      <c r="DC11" s="449">
        <f t="shared" ref="DC11" si="159">IF($V5=45,"P3",IF($V5=60,"H3",DA7+2))</f>
        <v>46407</v>
      </c>
      <c r="DD11" s="449">
        <f t="shared" ref="DD11" si="160">IF($V5=45,"P4",IF($V5=60,"H4",DA7+3))</f>
        <v>46408</v>
      </c>
      <c r="DE11" s="451">
        <f t="shared" ref="DE11" si="161">IF($V5=45,"P5",IF($V5=60,"H5",DA7+4))</f>
        <v>46409</v>
      </c>
      <c r="DF11" s="453">
        <f t="shared" ref="DF11" si="162">IF($V5=45,"P1",IF($V5=60,"H1",DF7))</f>
        <v>46412</v>
      </c>
      <c r="DG11" s="449">
        <f t="shared" ref="DG11" si="163">IF($V5=45,"P2",IF($V5=60,"H2",DF7+1))</f>
        <v>46413</v>
      </c>
      <c r="DH11" s="449">
        <f t="shared" ref="DH11" si="164">IF($V5=45,"P3",IF($V5=60,"H3",DF7+2))</f>
        <v>46414</v>
      </c>
      <c r="DI11" s="449">
        <f t="shared" ref="DI11" si="165">IF($V5=45,"P4",IF($V5=60,"H4",DF7+3))</f>
        <v>46415</v>
      </c>
      <c r="DJ11" s="451">
        <f t="shared" ref="DJ11" si="166">IF($V5=45,"P5",IF($V5=60,"H5",DF7+4))</f>
        <v>46416</v>
      </c>
    </row>
    <row r="12" spans="1:114" ht="14" thickBot="1" x14ac:dyDescent="0.2">
      <c r="A12" s="456"/>
      <c r="B12" s="165"/>
      <c r="C12" s="166" t="s">
        <v>121</v>
      </c>
      <c r="D12" s="167" t="s">
        <v>122</v>
      </c>
      <c r="E12" s="168" t="str">
        <f>IFERROR(HLOOKUP(MAX(Ressources!$D9:$J9),Ressources!$D9:$J15,7,FALSE),"")</f>
        <v>Suppervision</v>
      </c>
      <c r="F12" s="168" t="str">
        <f>IFERROR(HLOOKUP(MAX(Ressources!$D10:$J10),Ressources!$D10:$J15,6,FALSE),"")</f>
        <v>Gestion de projet</v>
      </c>
      <c r="G12" s="168" t="str">
        <f>IFERROR(HLOOKUP(MAX(Ressources!$D11:$J11),Ressources!$D11:$J15,5,FALSE),"")</f>
        <v/>
      </c>
      <c r="H12" s="168" t="str">
        <f>IFERROR(HLOOKUP(MAX(Ressources!$D12:$J12),Ressources!$D12:$J15,4,FALSE),"")</f>
        <v/>
      </c>
      <c r="I12" s="168" t="str">
        <f>IFERROR(HLOOKUP(MAX(Ressources!$D13:$J13),Ressources!$D13:$J15,3,FALSE),"")</f>
        <v/>
      </c>
      <c r="J12" s="169" t="s">
        <v>123</v>
      </c>
      <c r="K12" s="193" t="s">
        <v>124</v>
      </c>
      <c r="L12" s="171" t="s">
        <v>125</v>
      </c>
      <c r="M12" s="170" t="s">
        <v>126</v>
      </c>
      <c r="N12" s="171"/>
      <c r="O12" s="454"/>
      <c r="P12" s="450"/>
      <c r="Q12" s="450"/>
      <c r="R12" s="450"/>
      <c r="S12" s="452"/>
      <c r="T12" s="454"/>
      <c r="U12" s="450"/>
      <c r="V12" s="450"/>
      <c r="W12" s="450"/>
      <c r="X12" s="452"/>
      <c r="Y12" s="454"/>
      <c r="Z12" s="450"/>
      <c r="AA12" s="450"/>
      <c r="AB12" s="450"/>
      <c r="AC12" s="452"/>
      <c r="AD12" s="454"/>
      <c r="AE12" s="450"/>
      <c r="AF12" s="450"/>
      <c r="AG12" s="450"/>
      <c r="AH12" s="452"/>
      <c r="AI12" s="454"/>
      <c r="AJ12" s="450"/>
      <c r="AK12" s="450"/>
      <c r="AL12" s="450"/>
      <c r="AM12" s="452"/>
      <c r="AN12" s="454"/>
      <c r="AO12" s="450"/>
      <c r="AP12" s="450"/>
      <c r="AQ12" s="450"/>
      <c r="AR12" s="452"/>
      <c r="AS12" s="454"/>
      <c r="AT12" s="450"/>
      <c r="AU12" s="450"/>
      <c r="AV12" s="450"/>
      <c r="AW12" s="452"/>
      <c r="AX12" s="454"/>
      <c r="AY12" s="450"/>
      <c r="AZ12" s="450"/>
      <c r="BA12" s="450"/>
      <c r="BB12" s="452"/>
      <c r="BC12" s="454"/>
      <c r="BD12" s="450"/>
      <c r="BE12" s="450"/>
      <c r="BF12" s="450"/>
      <c r="BG12" s="452"/>
      <c r="BH12" s="454"/>
      <c r="BI12" s="450"/>
      <c r="BJ12" s="450"/>
      <c r="BK12" s="450"/>
      <c r="BL12" s="452"/>
      <c r="BM12" s="454"/>
      <c r="BN12" s="450"/>
      <c r="BO12" s="450"/>
      <c r="BP12" s="450"/>
      <c r="BQ12" s="452"/>
      <c r="BR12" s="454"/>
      <c r="BS12" s="450"/>
      <c r="BT12" s="450"/>
      <c r="BU12" s="450"/>
      <c r="BV12" s="452"/>
      <c r="BW12" s="454"/>
      <c r="BX12" s="450"/>
      <c r="BY12" s="450"/>
      <c r="BZ12" s="450"/>
      <c r="CA12" s="452"/>
      <c r="CB12" s="454"/>
      <c r="CC12" s="450"/>
      <c r="CD12" s="450"/>
      <c r="CE12" s="450"/>
      <c r="CF12" s="452"/>
      <c r="CG12" s="454"/>
      <c r="CH12" s="450"/>
      <c r="CI12" s="450"/>
      <c r="CJ12" s="450"/>
      <c r="CK12" s="452"/>
      <c r="CL12" s="454"/>
      <c r="CM12" s="450"/>
      <c r="CN12" s="450"/>
      <c r="CO12" s="450"/>
      <c r="CP12" s="452"/>
      <c r="CQ12" s="454"/>
      <c r="CR12" s="450"/>
      <c r="CS12" s="450"/>
      <c r="CT12" s="450"/>
      <c r="CU12" s="452"/>
      <c r="CV12" s="454"/>
      <c r="CW12" s="450"/>
      <c r="CX12" s="450"/>
      <c r="CY12" s="450"/>
      <c r="CZ12" s="452"/>
      <c r="DA12" s="454"/>
      <c r="DB12" s="450"/>
      <c r="DC12" s="450"/>
      <c r="DD12" s="450"/>
      <c r="DE12" s="452"/>
      <c r="DF12" s="454"/>
      <c r="DG12" s="450"/>
      <c r="DH12" s="450"/>
      <c r="DI12" s="450"/>
      <c r="DJ12" s="452"/>
    </row>
    <row r="13" spans="1:114" ht="12.75" hidden="1" customHeight="1" x14ac:dyDescent="0.15">
      <c r="A13" s="345" t="s">
        <v>127</v>
      </c>
      <c r="B13" s="346"/>
      <c r="C13" s="347"/>
      <c r="D13" s="348"/>
      <c r="E13" s="349"/>
      <c r="F13" s="350"/>
      <c r="G13" s="350"/>
      <c r="H13" s="350"/>
      <c r="I13" s="351"/>
      <c r="J13" s="352"/>
      <c r="K13" s="353"/>
      <c r="L13" s="354"/>
      <c r="M13" s="355"/>
      <c r="N13" s="172" t="str">
        <f t="shared" ref="N13:N42" si="167">IF(COUNTIF(O13:DJ13,"x")=0,"",COUNTIF(O13:DJ13,"x"))</f>
        <v/>
      </c>
      <c r="O13" s="28"/>
      <c r="P13" s="51"/>
      <c r="Q13" s="29"/>
      <c r="R13" s="29"/>
      <c r="S13" s="27"/>
      <c r="T13" s="30"/>
      <c r="U13" s="124"/>
      <c r="V13" s="31"/>
      <c r="W13" s="31"/>
      <c r="X13" s="32"/>
      <c r="Y13" s="30"/>
      <c r="Z13" s="124"/>
      <c r="AA13" s="31"/>
      <c r="AB13" s="31"/>
      <c r="AC13" s="32"/>
      <c r="AD13" s="30"/>
      <c r="AE13" s="124"/>
      <c r="AF13" s="31"/>
      <c r="AG13" s="31"/>
      <c r="AH13" s="32"/>
      <c r="AI13" s="30"/>
      <c r="AJ13" s="124"/>
      <c r="AK13" s="31"/>
      <c r="AL13" s="31"/>
      <c r="AM13" s="32"/>
      <c r="AN13" s="30"/>
      <c r="AO13" s="124"/>
      <c r="AP13" s="31"/>
      <c r="AQ13" s="31"/>
      <c r="AR13" s="32"/>
      <c r="AS13" s="30"/>
      <c r="AT13" s="124"/>
      <c r="AU13" s="31"/>
      <c r="AV13" s="31"/>
      <c r="AW13" s="32"/>
      <c r="AX13" s="30"/>
      <c r="AY13" s="124"/>
      <c r="AZ13" s="31"/>
      <c r="BA13" s="31"/>
      <c r="BB13" s="32"/>
      <c r="BC13" s="30"/>
      <c r="BD13" s="124"/>
      <c r="BE13" s="31"/>
      <c r="BF13" s="31"/>
      <c r="BG13" s="32"/>
      <c r="BH13" s="30"/>
      <c r="BI13" s="124"/>
      <c r="BJ13" s="31"/>
      <c r="BK13" s="31"/>
      <c r="BL13" s="32"/>
      <c r="BM13" s="30"/>
      <c r="BN13" s="124"/>
      <c r="BO13" s="31"/>
      <c r="BP13" s="31"/>
      <c r="BQ13" s="32"/>
      <c r="BR13" s="30"/>
      <c r="BS13" s="124"/>
      <c r="BT13" s="31"/>
      <c r="BU13" s="31"/>
      <c r="BV13" s="32"/>
      <c r="BW13" s="30"/>
      <c r="BX13" s="124"/>
      <c r="BY13" s="31"/>
      <c r="BZ13" s="31"/>
      <c r="CA13" s="32"/>
      <c r="CB13" s="30"/>
      <c r="CC13" s="124"/>
      <c r="CD13" s="31"/>
      <c r="CE13" s="31"/>
      <c r="CF13" s="32"/>
      <c r="CG13" s="30"/>
      <c r="CH13" s="124"/>
      <c r="CI13" s="31"/>
      <c r="CJ13" s="31"/>
      <c r="CK13" s="32"/>
      <c r="CL13" s="30"/>
      <c r="CM13" s="124"/>
      <c r="CN13" s="31"/>
      <c r="CO13" s="31"/>
      <c r="CP13" s="32"/>
      <c r="CQ13" s="30"/>
      <c r="CR13" s="124"/>
      <c r="CS13" s="31"/>
      <c r="CT13" s="31"/>
      <c r="CU13" s="32"/>
      <c r="CV13" s="30"/>
      <c r="CW13" s="124"/>
      <c r="CX13" s="31"/>
      <c r="CY13" s="31"/>
      <c r="CZ13" s="32"/>
      <c r="DA13" s="30"/>
      <c r="DB13" s="124"/>
      <c r="DC13" s="31"/>
      <c r="DD13" s="31"/>
      <c r="DE13" s="32"/>
      <c r="DF13" s="30"/>
      <c r="DG13" s="124"/>
      <c r="DH13" s="31"/>
      <c r="DI13" s="31"/>
      <c r="DJ13" s="32"/>
    </row>
    <row r="14" spans="1:114" x14ac:dyDescent="0.15">
      <c r="A14" s="367"/>
      <c r="B14" s="368" t="s">
        <v>227</v>
      </c>
      <c r="C14" s="369"/>
      <c r="D14" s="370">
        <f>SUM(D15:D16)</f>
        <v>0.25</v>
      </c>
      <c r="E14" s="371"/>
      <c r="F14" s="372"/>
      <c r="G14" s="372"/>
      <c r="H14" s="372"/>
      <c r="I14" s="373"/>
      <c r="J14" s="184" t="str">
        <f t="shared" ref="J14:J19" si="168">IF(ISBLANK(C14),"",SUM(E14:I14))</f>
        <v/>
      </c>
      <c r="K14" s="374" t="str">
        <f t="shared" ref="K14:K41" si="169">IF(ISBLANK(C14),"",IF(D14=0,0,MROUND(D14/J14,"0:15")))</f>
        <v/>
      </c>
      <c r="L14" s="375"/>
      <c r="M14" s="376"/>
      <c r="N14" s="173" t="str">
        <f t="shared" si="167"/>
        <v/>
      </c>
      <c r="O14" s="404"/>
      <c r="P14" s="405"/>
      <c r="Q14" s="406"/>
      <c r="R14" s="406"/>
      <c r="S14" s="407"/>
      <c r="T14" s="404"/>
      <c r="U14" s="405"/>
      <c r="V14" s="406"/>
      <c r="W14" s="406"/>
      <c r="X14" s="407"/>
      <c r="Y14" s="404"/>
      <c r="Z14" s="405"/>
      <c r="AA14" s="406"/>
      <c r="AB14" s="406"/>
      <c r="AC14" s="407"/>
      <c r="AD14" s="404"/>
      <c r="AE14" s="405"/>
      <c r="AF14" s="406"/>
      <c r="AG14" s="406"/>
      <c r="AH14" s="407"/>
      <c r="AI14" s="404"/>
      <c r="AJ14" s="405"/>
      <c r="AK14" s="406"/>
      <c r="AL14" s="406"/>
      <c r="AM14" s="407"/>
      <c r="AN14" s="404"/>
      <c r="AO14" s="405"/>
      <c r="AP14" s="406"/>
      <c r="AQ14" s="406"/>
      <c r="AR14" s="407"/>
      <c r="AS14" s="404"/>
      <c r="AT14" s="405"/>
      <c r="AU14" s="406"/>
      <c r="AV14" s="406"/>
      <c r="AW14" s="407"/>
      <c r="AX14" s="404"/>
      <c r="AY14" s="405"/>
      <c r="AZ14" s="406"/>
      <c r="BA14" s="406"/>
      <c r="BB14" s="407"/>
      <c r="BC14" s="404"/>
      <c r="BD14" s="405"/>
      <c r="BE14" s="406"/>
      <c r="BF14" s="406"/>
      <c r="BG14" s="407"/>
      <c r="BH14" s="404"/>
      <c r="BI14" s="405"/>
      <c r="BJ14" s="406"/>
      <c r="BK14" s="406"/>
      <c r="BL14" s="407"/>
      <c r="BM14" s="404"/>
      <c r="BN14" s="405"/>
      <c r="BO14" s="406"/>
      <c r="BP14" s="406"/>
      <c r="BQ14" s="407"/>
      <c r="BR14" s="404"/>
      <c r="BS14" s="405"/>
      <c r="BT14" s="406"/>
      <c r="BU14" s="406"/>
      <c r="BV14" s="407"/>
      <c r="BW14" s="404"/>
      <c r="BX14" s="405"/>
      <c r="BY14" s="406"/>
      <c r="BZ14" s="406"/>
      <c r="CA14" s="407"/>
      <c r="CB14" s="404"/>
      <c r="CC14" s="405"/>
      <c r="CD14" s="406"/>
      <c r="CE14" s="406"/>
      <c r="CF14" s="407"/>
      <c r="CG14" s="404"/>
      <c r="CH14" s="405"/>
      <c r="CI14" s="406"/>
      <c r="CJ14" s="406"/>
      <c r="CK14" s="407"/>
      <c r="CL14" s="404"/>
      <c r="CM14" s="405"/>
      <c r="CN14" s="406"/>
      <c r="CO14" s="406"/>
      <c r="CP14" s="407"/>
      <c r="CQ14" s="404"/>
      <c r="CR14" s="405"/>
      <c r="CS14" s="406"/>
      <c r="CT14" s="406"/>
      <c r="CU14" s="407"/>
      <c r="CV14" s="404"/>
      <c r="CW14" s="405"/>
      <c r="CX14" s="406"/>
      <c r="CY14" s="406"/>
      <c r="CZ14" s="407"/>
      <c r="DA14" s="404"/>
      <c r="DB14" s="405"/>
      <c r="DC14" s="406"/>
      <c r="DD14" s="406"/>
      <c r="DE14" s="407"/>
      <c r="DF14" s="404"/>
      <c r="DG14" s="405"/>
      <c r="DH14" s="406"/>
      <c r="DI14" s="406"/>
      <c r="DJ14" s="407"/>
    </row>
    <row r="15" spans="1:114" x14ac:dyDescent="0.15">
      <c r="A15" s="335"/>
      <c r="B15" s="26"/>
      <c r="C15" s="33" t="s">
        <v>228</v>
      </c>
      <c r="D15" s="339">
        <v>0.125</v>
      </c>
      <c r="E15" s="336"/>
      <c r="F15" s="337">
        <v>1</v>
      </c>
      <c r="G15" s="337"/>
      <c r="H15" s="337"/>
      <c r="I15" s="338"/>
      <c r="J15" s="77">
        <f t="shared" si="168"/>
        <v>1</v>
      </c>
      <c r="K15" s="196">
        <f t="shared" si="169"/>
        <v>0.125</v>
      </c>
      <c r="L15" s="340"/>
      <c r="M15" s="341" t="s">
        <v>229</v>
      </c>
      <c r="N15" s="173">
        <f t="shared" si="167"/>
        <v>15</v>
      </c>
      <c r="O15" s="404"/>
      <c r="P15" s="405"/>
      <c r="Q15" s="406" t="s">
        <v>230</v>
      </c>
      <c r="R15" s="406"/>
      <c r="S15" s="407"/>
      <c r="T15" s="404"/>
      <c r="U15" s="405"/>
      <c r="V15" s="406" t="s">
        <v>230</v>
      </c>
      <c r="W15" s="406"/>
      <c r="X15" s="407"/>
      <c r="Y15" s="404"/>
      <c r="Z15" s="405"/>
      <c r="AA15" s="406" t="s">
        <v>230</v>
      </c>
      <c r="AB15" s="406"/>
      <c r="AC15" s="407"/>
      <c r="AD15" s="404"/>
      <c r="AE15" s="405"/>
      <c r="AF15" s="406" t="s">
        <v>230</v>
      </c>
      <c r="AG15" s="406"/>
      <c r="AH15" s="407"/>
      <c r="AI15" s="404"/>
      <c r="AJ15" s="405"/>
      <c r="AK15" s="406" t="s">
        <v>230</v>
      </c>
      <c r="AL15" s="406"/>
      <c r="AM15" s="407"/>
      <c r="AN15" s="404"/>
      <c r="AO15" s="405"/>
      <c r="AP15" s="406" t="s">
        <v>230</v>
      </c>
      <c r="AQ15" s="406"/>
      <c r="AR15" s="407"/>
      <c r="AS15" s="404"/>
      <c r="AT15" s="405"/>
      <c r="AU15" s="406" t="s">
        <v>230</v>
      </c>
      <c r="AV15" s="406"/>
      <c r="AW15" s="407"/>
      <c r="AX15" s="404"/>
      <c r="AY15" s="405"/>
      <c r="AZ15" s="406" t="s">
        <v>230</v>
      </c>
      <c r="BA15" s="406"/>
      <c r="BB15" s="407"/>
      <c r="BC15" s="404"/>
      <c r="BD15" s="405"/>
      <c r="BE15" s="406" t="s">
        <v>230</v>
      </c>
      <c r="BF15" s="406"/>
      <c r="BG15" s="407"/>
      <c r="BH15" s="404"/>
      <c r="BI15" s="405"/>
      <c r="BJ15" s="406" t="s">
        <v>230</v>
      </c>
      <c r="BK15" s="406"/>
      <c r="BL15" s="407"/>
      <c r="BM15" s="404"/>
      <c r="BN15" s="405"/>
      <c r="BO15" s="406" t="s">
        <v>230</v>
      </c>
      <c r="BP15" s="406"/>
      <c r="BQ15" s="407"/>
      <c r="BR15" s="404"/>
      <c r="BS15" s="405"/>
      <c r="BT15" s="406" t="s">
        <v>230</v>
      </c>
      <c r="BU15" s="406"/>
      <c r="BV15" s="407"/>
      <c r="BW15" s="404"/>
      <c r="BX15" s="405"/>
      <c r="BY15" s="406" t="s">
        <v>230</v>
      </c>
      <c r="BZ15" s="406"/>
      <c r="CA15" s="407"/>
      <c r="CB15" s="404"/>
      <c r="CC15" s="405"/>
      <c r="CD15" s="406" t="s">
        <v>230</v>
      </c>
      <c r="CE15" s="406"/>
      <c r="CF15" s="407"/>
      <c r="CG15" s="404"/>
      <c r="CH15" s="405"/>
      <c r="CI15" s="406" t="s">
        <v>230</v>
      </c>
      <c r="CJ15" s="406"/>
      <c r="CK15" s="407"/>
      <c r="CL15" s="404"/>
      <c r="CM15" s="405"/>
      <c r="CN15" s="406"/>
      <c r="CO15" s="406"/>
      <c r="CP15" s="407"/>
      <c r="CQ15" s="404"/>
      <c r="CR15" s="405"/>
      <c r="CS15" s="406"/>
      <c r="CT15" s="406"/>
      <c r="CU15" s="407"/>
      <c r="CV15" s="404"/>
      <c r="CW15" s="405"/>
      <c r="CX15" s="406"/>
      <c r="CY15" s="406"/>
      <c r="CZ15" s="407"/>
      <c r="DA15" s="404"/>
      <c r="DB15" s="405"/>
      <c r="DC15" s="406"/>
      <c r="DD15" s="406"/>
      <c r="DE15" s="407"/>
      <c r="DF15" s="404"/>
      <c r="DG15" s="405"/>
      <c r="DH15" s="406"/>
      <c r="DI15" s="406"/>
      <c r="DJ15" s="407"/>
    </row>
    <row r="16" spans="1:114" x14ac:dyDescent="0.15">
      <c r="A16" s="335"/>
      <c r="B16" s="26"/>
      <c r="C16" s="33" t="s">
        <v>231</v>
      </c>
      <c r="D16" s="339">
        <v>0.125</v>
      </c>
      <c r="E16" s="336"/>
      <c r="F16" s="337">
        <v>1</v>
      </c>
      <c r="G16" s="337"/>
      <c r="H16" s="337"/>
      <c r="I16" s="338"/>
      <c r="J16" s="77">
        <f t="shared" si="168"/>
        <v>1</v>
      </c>
      <c r="K16" s="196">
        <f t="shared" si="169"/>
        <v>0.125</v>
      </c>
      <c r="L16" s="340"/>
      <c r="M16" s="341" t="s">
        <v>229</v>
      </c>
      <c r="N16" s="173">
        <f t="shared" si="167"/>
        <v>15</v>
      </c>
      <c r="O16" s="404"/>
      <c r="P16" s="405"/>
      <c r="Q16" s="406" t="s">
        <v>230</v>
      </c>
      <c r="R16" s="406"/>
      <c r="S16" s="407"/>
      <c r="T16" s="404"/>
      <c r="U16" s="405"/>
      <c r="V16" s="406" t="s">
        <v>230</v>
      </c>
      <c r="W16" s="406"/>
      <c r="X16" s="407"/>
      <c r="Y16" s="404"/>
      <c r="Z16" s="405"/>
      <c r="AA16" s="406" t="s">
        <v>230</v>
      </c>
      <c r="AB16" s="406"/>
      <c r="AC16" s="407"/>
      <c r="AD16" s="404"/>
      <c r="AE16" s="405"/>
      <c r="AF16" s="406" t="s">
        <v>230</v>
      </c>
      <c r="AG16" s="406"/>
      <c r="AH16" s="407"/>
      <c r="AI16" s="404"/>
      <c r="AJ16" s="405"/>
      <c r="AK16" s="406" t="s">
        <v>230</v>
      </c>
      <c r="AL16" s="406"/>
      <c r="AM16" s="407"/>
      <c r="AN16" s="404"/>
      <c r="AO16" s="405"/>
      <c r="AP16" s="406" t="s">
        <v>230</v>
      </c>
      <c r="AQ16" s="406"/>
      <c r="AR16" s="407"/>
      <c r="AS16" s="404"/>
      <c r="AT16" s="405"/>
      <c r="AU16" s="406" t="s">
        <v>230</v>
      </c>
      <c r="AV16" s="406"/>
      <c r="AW16" s="407"/>
      <c r="AX16" s="404"/>
      <c r="AY16" s="405"/>
      <c r="AZ16" s="406" t="s">
        <v>230</v>
      </c>
      <c r="BA16" s="406"/>
      <c r="BB16" s="407"/>
      <c r="BC16" s="404"/>
      <c r="BD16" s="405"/>
      <c r="BE16" s="406" t="s">
        <v>230</v>
      </c>
      <c r="BF16" s="406"/>
      <c r="BG16" s="407"/>
      <c r="BH16" s="404"/>
      <c r="BI16" s="405"/>
      <c r="BJ16" s="406" t="s">
        <v>230</v>
      </c>
      <c r="BK16" s="406"/>
      <c r="BL16" s="407"/>
      <c r="BM16" s="404"/>
      <c r="BN16" s="405"/>
      <c r="BO16" s="406" t="s">
        <v>230</v>
      </c>
      <c r="BP16" s="406"/>
      <c r="BQ16" s="407"/>
      <c r="BR16" s="404"/>
      <c r="BS16" s="405"/>
      <c r="BT16" s="406" t="s">
        <v>230</v>
      </c>
      <c r="BU16" s="406"/>
      <c r="BV16" s="407"/>
      <c r="BW16" s="404"/>
      <c r="BX16" s="405"/>
      <c r="BY16" s="406" t="s">
        <v>230</v>
      </c>
      <c r="BZ16" s="406"/>
      <c r="CA16" s="407"/>
      <c r="CB16" s="404"/>
      <c r="CC16" s="405"/>
      <c r="CD16" s="406" t="s">
        <v>230</v>
      </c>
      <c r="CE16" s="406"/>
      <c r="CF16" s="407"/>
      <c r="CG16" s="404"/>
      <c r="CH16" s="405"/>
      <c r="CI16" s="406" t="s">
        <v>230</v>
      </c>
      <c r="CJ16" s="406"/>
      <c r="CK16" s="407"/>
      <c r="CL16" s="404"/>
      <c r="CM16" s="405"/>
      <c r="CN16" s="406"/>
      <c r="CO16" s="406"/>
      <c r="CP16" s="407"/>
      <c r="CQ16" s="404"/>
      <c r="CR16" s="405"/>
      <c r="CS16" s="406"/>
      <c r="CT16" s="406"/>
      <c r="CU16" s="407"/>
      <c r="CV16" s="404"/>
      <c r="CW16" s="405"/>
      <c r="CX16" s="406"/>
      <c r="CY16" s="406"/>
      <c r="CZ16" s="407"/>
      <c r="DA16" s="404"/>
      <c r="DB16" s="405"/>
      <c r="DC16" s="406"/>
      <c r="DD16" s="406"/>
      <c r="DE16" s="407"/>
      <c r="DF16" s="404"/>
      <c r="DG16" s="405"/>
      <c r="DH16" s="406"/>
      <c r="DI16" s="406"/>
      <c r="DJ16" s="407"/>
    </row>
    <row r="17" spans="1:114" hidden="1" x14ac:dyDescent="0.15">
      <c r="A17" s="335"/>
      <c r="B17" s="26" t="s">
        <v>232</v>
      </c>
      <c r="C17" s="33"/>
      <c r="D17" s="339">
        <f>SUM(D18:D20)</f>
        <v>0.29166666666666663</v>
      </c>
      <c r="E17" s="336"/>
      <c r="F17" s="337"/>
      <c r="G17" s="337"/>
      <c r="H17" s="337"/>
      <c r="I17" s="338"/>
      <c r="J17" s="77" t="str">
        <f t="shared" si="168"/>
        <v/>
      </c>
      <c r="K17" s="196" t="str">
        <f t="shared" si="169"/>
        <v/>
      </c>
      <c r="L17" s="340"/>
      <c r="M17" s="341"/>
      <c r="N17" s="173" t="str">
        <f t="shared" si="167"/>
        <v/>
      </c>
      <c r="O17" s="404"/>
      <c r="P17" s="405"/>
      <c r="Q17" s="406"/>
      <c r="R17" s="406"/>
      <c r="S17" s="407"/>
      <c r="T17" s="404"/>
      <c r="U17" s="405"/>
      <c r="V17" s="406"/>
      <c r="W17" s="406"/>
      <c r="X17" s="407"/>
      <c r="Y17" s="404"/>
      <c r="Z17" s="405"/>
      <c r="AA17" s="406"/>
      <c r="AB17" s="406"/>
      <c r="AC17" s="407"/>
      <c r="AD17" s="404"/>
      <c r="AE17" s="405"/>
      <c r="AF17" s="406"/>
      <c r="AG17" s="406"/>
      <c r="AH17" s="407"/>
      <c r="AI17" s="404"/>
      <c r="AJ17" s="405"/>
      <c r="AK17" s="406"/>
      <c r="AL17" s="406"/>
      <c r="AM17" s="407"/>
      <c r="AN17" s="404"/>
      <c r="AO17" s="405"/>
      <c r="AP17" s="406"/>
      <c r="AQ17" s="406"/>
      <c r="AR17" s="407"/>
      <c r="AS17" s="404"/>
      <c r="AT17" s="405"/>
      <c r="AU17" s="406"/>
      <c r="AV17" s="406"/>
      <c r="AW17" s="407"/>
      <c r="AX17" s="404"/>
      <c r="AY17" s="405"/>
      <c r="AZ17" s="406"/>
      <c r="BA17" s="406"/>
      <c r="BB17" s="407"/>
      <c r="BC17" s="404"/>
      <c r="BD17" s="405"/>
      <c r="BE17" s="406"/>
      <c r="BF17" s="406"/>
      <c r="BG17" s="407"/>
      <c r="BH17" s="404"/>
      <c r="BI17" s="405"/>
      <c r="BJ17" s="406"/>
      <c r="BK17" s="406"/>
      <c r="BL17" s="407"/>
      <c r="BM17" s="404"/>
      <c r="BN17" s="405"/>
      <c r="BO17" s="406"/>
      <c r="BP17" s="406"/>
      <c r="BQ17" s="407"/>
      <c r="BR17" s="404"/>
      <c r="BS17" s="405"/>
      <c r="BT17" s="406"/>
      <c r="BU17" s="406"/>
      <c r="BV17" s="407"/>
      <c r="BW17" s="404"/>
      <c r="BX17" s="405"/>
      <c r="BY17" s="406"/>
      <c r="BZ17" s="406"/>
      <c r="CA17" s="407"/>
      <c r="CB17" s="404"/>
      <c r="CC17" s="405"/>
      <c r="CD17" s="406"/>
      <c r="CE17" s="406"/>
      <c r="CF17" s="407"/>
      <c r="CG17" s="404"/>
      <c r="CH17" s="405"/>
      <c r="CI17" s="406"/>
      <c r="CJ17" s="406"/>
      <c r="CK17" s="407"/>
      <c r="CL17" s="404"/>
      <c r="CM17" s="405"/>
      <c r="CN17" s="406"/>
      <c r="CO17" s="406"/>
      <c r="CP17" s="407"/>
      <c r="CQ17" s="404"/>
      <c r="CR17" s="405"/>
      <c r="CS17" s="406"/>
      <c r="CT17" s="406"/>
      <c r="CU17" s="407"/>
      <c r="CV17" s="404"/>
      <c r="CW17" s="405"/>
      <c r="CX17" s="406"/>
      <c r="CY17" s="406"/>
      <c r="CZ17" s="407"/>
      <c r="DA17" s="404"/>
      <c r="DB17" s="405"/>
      <c r="DC17" s="406"/>
      <c r="DD17" s="406"/>
      <c r="DE17" s="407"/>
      <c r="DF17" s="404"/>
      <c r="DG17" s="405"/>
      <c r="DH17" s="406"/>
      <c r="DI17" s="406"/>
      <c r="DJ17" s="407"/>
    </row>
    <row r="18" spans="1:114" hidden="1" x14ac:dyDescent="0.15">
      <c r="A18" s="335"/>
      <c r="B18" s="26"/>
      <c r="C18" s="33" t="s">
        <v>233</v>
      </c>
      <c r="D18" s="339">
        <v>8.3333333333333329E-2</v>
      </c>
      <c r="E18" s="336"/>
      <c r="F18" s="337">
        <v>1</v>
      </c>
      <c r="G18" s="337"/>
      <c r="H18" s="337"/>
      <c r="I18" s="338"/>
      <c r="J18" s="77">
        <f t="shared" si="168"/>
        <v>1</v>
      </c>
      <c r="K18" s="196">
        <f t="shared" si="169"/>
        <v>8.3333333333333329E-2</v>
      </c>
      <c r="L18" s="340"/>
      <c r="M18" s="341" t="s">
        <v>266</v>
      </c>
      <c r="N18" s="173">
        <f t="shared" si="167"/>
        <v>1</v>
      </c>
      <c r="O18" s="404"/>
      <c r="P18" s="405"/>
      <c r="Q18" s="406"/>
      <c r="R18" s="406"/>
      <c r="S18" s="407"/>
      <c r="T18" s="404"/>
      <c r="U18" s="405"/>
      <c r="V18" s="406" t="s">
        <v>230</v>
      </c>
      <c r="W18" s="406"/>
      <c r="X18" s="407"/>
      <c r="Y18" s="404"/>
      <c r="Z18" s="405"/>
      <c r="AA18" s="406"/>
      <c r="AB18" s="406"/>
      <c r="AC18" s="407"/>
      <c r="AD18" s="404"/>
      <c r="AE18" s="405"/>
      <c r="AF18" s="406"/>
      <c r="AG18" s="406"/>
      <c r="AH18" s="407"/>
      <c r="AI18" s="404"/>
      <c r="AJ18" s="405"/>
      <c r="AK18" s="406"/>
      <c r="AL18" s="406"/>
      <c r="AM18" s="407"/>
      <c r="AN18" s="404"/>
      <c r="AO18" s="405"/>
      <c r="AP18" s="406"/>
      <c r="AQ18" s="406"/>
      <c r="AR18" s="407"/>
      <c r="AS18" s="404"/>
      <c r="AT18" s="405"/>
      <c r="AU18" s="406"/>
      <c r="AV18" s="406"/>
      <c r="AW18" s="407"/>
      <c r="AX18" s="404"/>
      <c r="AY18" s="405"/>
      <c r="AZ18" s="406"/>
      <c r="BA18" s="406"/>
      <c r="BB18" s="407"/>
      <c r="BC18" s="404"/>
      <c r="BD18" s="405"/>
      <c r="BE18" s="406"/>
      <c r="BF18" s="406"/>
      <c r="BG18" s="407"/>
      <c r="BH18" s="404"/>
      <c r="BI18" s="405"/>
      <c r="BJ18" s="406"/>
      <c r="BK18" s="406"/>
      <c r="BL18" s="407"/>
      <c r="BM18" s="404"/>
      <c r="BN18" s="405"/>
      <c r="BO18" s="406"/>
      <c r="BP18" s="406"/>
      <c r="BQ18" s="407"/>
      <c r="BR18" s="404"/>
      <c r="BS18" s="405"/>
      <c r="BT18" s="406"/>
      <c r="BU18" s="406"/>
      <c r="BV18" s="407"/>
      <c r="BW18" s="404"/>
      <c r="BX18" s="405"/>
      <c r="BY18" s="406"/>
      <c r="BZ18" s="406"/>
      <c r="CA18" s="407"/>
      <c r="CB18" s="404"/>
      <c r="CC18" s="405"/>
      <c r="CD18" s="406"/>
      <c r="CE18" s="406"/>
      <c r="CF18" s="407"/>
      <c r="CG18" s="404"/>
      <c r="CH18" s="405"/>
      <c r="CI18" s="406"/>
      <c r="CJ18" s="406"/>
      <c r="CK18" s="407"/>
      <c r="CL18" s="404"/>
      <c r="CM18" s="405"/>
      <c r="CN18" s="406"/>
      <c r="CO18" s="406"/>
      <c r="CP18" s="407"/>
      <c r="CQ18" s="404"/>
      <c r="CR18" s="405"/>
      <c r="CS18" s="406"/>
      <c r="CT18" s="406"/>
      <c r="CU18" s="407"/>
      <c r="CV18" s="404"/>
      <c r="CW18" s="405"/>
      <c r="CX18" s="406"/>
      <c r="CY18" s="406"/>
      <c r="CZ18" s="407"/>
      <c r="DA18" s="404"/>
      <c r="DB18" s="405"/>
      <c r="DC18" s="406"/>
      <c r="DD18" s="406"/>
      <c r="DE18" s="407"/>
      <c r="DF18" s="404"/>
      <c r="DG18" s="405"/>
      <c r="DH18" s="406"/>
      <c r="DI18" s="406"/>
      <c r="DJ18" s="407"/>
    </row>
    <row r="19" spans="1:114" hidden="1" x14ac:dyDescent="0.15">
      <c r="A19" s="335"/>
      <c r="B19" s="26"/>
      <c r="C19" s="33" t="s">
        <v>235</v>
      </c>
      <c r="D19" s="339">
        <v>8.3333333333333329E-2</v>
      </c>
      <c r="E19" s="336"/>
      <c r="F19" s="337">
        <v>1</v>
      </c>
      <c r="G19" s="337"/>
      <c r="H19" s="337"/>
      <c r="I19" s="338"/>
      <c r="J19" s="77">
        <f t="shared" si="168"/>
        <v>1</v>
      </c>
      <c r="K19" s="196">
        <f t="shared" si="169"/>
        <v>8.3333333333333329E-2</v>
      </c>
      <c r="L19" s="340"/>
      <c r="M19" s="341" t="s">
        <v>266</v>
      </c>
      <c r="N19" s="173">
        <f t="shared" si="167"/>
        <v>2</v>
      </c>
      <c r="O19" s="404"/>
      <c r="P19" s="405"/>
      <c r="Q19" s="406"/>
      <c r="R19" s="406"/>
      <c r="S19" s="407"/>
      <c r="T19" s="404"/>
      <c r="U19" s="405"/>
      <c r="V19" s="406" t="s">
        <v>230</v>
      </c>
      <c r="W19" s="406"/>
      <c r="X19" s="407"/>
      <c r="Y19" s="404"/>
      <c r="Z19" s="405"/>
      <c r="AA19" s="406" t="s">
        <v>230</v>
      </c>
      <c r="AB19" s="406"/>
      <c r="AC19" s="407"/>
      <c r="AD19" s="404"/>
      <c r="AE19" s="405"/>
      <c r="AF19" s="406"/>
      <c r="AG19" s="406"/>
      <c r="AH19" s="407"/>
      <c r="AI19" s="404"/>
      <c r="AJ19" s="405"/>
      <c r="AK19" s="406"/>
      <c r="AL19" s="406"/>
      <c r="AM19" s="407"/>
      <c r="AN19" s="404"/>
      <c r="AO19" s="405"/>
      <c r="AP19" s="406"/>
      <c r="AQ19" s="406"/>
      <c r="AR19" s="407"/>
      <c r="AS19" s="404"/>
      <c r="AT19" s="405"/>
      <c r="AU19" s="406"/>
      <c r="AV19" s="406"/>
      <c r="AW19" s="407"/>
      <c r="AX19" s="404"/>
      <c r="AY19" s="405"/>
      <c r="AZ19" s="406"/>
      <c r="BA19" s="406"/>
      <c r="BB19" s="407"/>
      <c r="BC19" s="404"/>
      <c r="BD19" s="405"/>
      <c r="BE19" s="406"/>
      <c r="BF19" s="406"/>
      <c r="BG19" s="407"/>
      <c r="BH19" s="404"/>
      <c r="BI19" s="405"/>
      <c r="BJ19" s="406"/>
      <c r="BK19" s="406"/>
      <c r="BL19" s="407"/>
      <c r="BM19" s="404"/>
      <c r="BN19" s="405"/>
      <c r="BO19" s="406"/>
      <c r="BP19" s="406"/>
      <c r="BQ19" s="407"/>
      <c r="BR19" s="404"/>
      <c r="BS19" s="405"/>
      <c r="BT19" s="406"/>
      <c r="BU19" s="406"/>
      <c r="BV19" s="407"/>
      <c r="BW19" s="404"/>
      <c r="BX19" s="405"/>
      <c r="BY19" s="406"/>
      <c r="BZ19" s="406"/>
      <c r="CA19" s="407"/>
      <c r="CB19" s="404"/>
      <c r="CC19" s="405"/>
      <c r="CD19" s="406"/>
      <c r="CE19" s="406"/>
      <c r="CF19" s="407"/>
      <c r="CG19" s="404"/>
      <c r="CH19" s="405"/>
      <c r="CI19" s="406"/>
      <c r="CJ19" s="406"/>
      <c r="CK19" s="407"/>
      <c r="CL19" s="404"/>
      <c r="CM19" s="405"/>
      <c r="CN19" s="406"/>
      <c r="CO19" s="406"/>
      <c r="CP19" s="407"/>
      <c r="CQ19" s="404"/>
      <c r="CR19" s="405"/>
      <c r="CS19" s="406"/>
      <c r="CT19" s="406"/>
      <c r="CU19" s="407"/>
      <c r="CV19" s="404"/>
      <c r="CW19" s="405"/>
      <c r="CX19" s="406"/>
      <c r="CY19" s="406"/>
      <c r="CZ19" s="407"/>
      <c r="DA19" s="404"/>
      <c r="DB19" s="405"/>
      <c r="DC19" s="406"/>
      <c r="DD19" s="406"/>
      <c r="DE19" s="407"/>
      <c r="DF19" s="404"/>
      <c r="DG19" s="405"/>
      <c r="DH19" s="406"/>
      <c r="DI19" s="406"/>
      <c r="DJ19" s="407"/>
    </row>
    <row r="20" spans="1:114" hidden="1" x14ac:dyDescent="0.15">
      <c r="A20" s="335"/>
      <c r="B20" s="26"/>
      <c r="C20" s="33" t="s">
        <v>236</v>
      </c>
      <c r="D20" s="339">
        <v>0.125</v>
      </c>
      <c r="E20" s="336"/>
      <c r="F20" s="337">
        <v>1</v>
      </c>
      <c r="G20" s="337"/>
      <c r="H20" s="337"/>
      <c r="I20" s="338"/>
      <c r="J20" s="77">
        <f t="shared" ref="J20:J41" si="170">IF(ISBLANK(C20),"",SUM(E20:I20))</f>
        <v>1</v>
      </c>
      <c r="K20" s="196">
        <f t="shared" si="169"/>
        <v>0.125</v>
      </c>
      <c r="L20" s="340"/>
      <c r="M20" s="341" t="s">
        <v>266</v>
      </c>
      <c r="N20" s="173">
        <f t="shared" si="167"/>
        <v>2</v>
      </c>
      <c r="O20" s="404"/>
      <c r="P20" s="405"/>
      <c r="Q20" s="406"/>
      <c r="R20" s="406"/>
      <c r="S20" s="407"/>
      <c r="T20" s="404"/>
      <c r="U20" s="405"/>
      <c r="V20" s="406"/>
      <c r="W20" s="406"/>
      <c r="X20" s="407"/>
      <c r="Y20" s="404"/>
      <c r="Z20" s="405"/>
      <c r="AA20" s="406" t="s">
        <v>230</v>
      </c>
      <c r="AB20" s="406"/>
      <c r="AC20" s="407"/>
      <c r="AD20" s="404"/>
      <c r="AE20" s="405"/>
      <c r="AF20" s="406" t="s">
        <v>230</v>
      </c>
      <c r="AG20" s="406"/>
      <c r="AH20" s="407"/>
      <c r="AI20" s="404"/>
      <c r="AJ20" s="405"/>
      <c r="AK20" s="406"/>
      <c r="AL20" s="406"/>
      <c r="AM20" s="407"/>
      <c r="AN20" s="404"/>
      <c r="AO20" s="405"/>
      <c r="AP20" s="406"/>
      <c r="AQ20" s="406"/>
      <c r="AR20" s="407"/>
      <c r="AS20" s="404"/>
      <c r="AT20" s="405"/>
      <c r="AU20" s="406"/>
      <c r="AV20" s="406"/>
      <c r="AW20" s="407"/>
      <c r="AX20" s="404"/>
      <c r="AY20" s="405"/>
      <c r="AZ20" s="406"/>
      <c r="BA20" s="406"/>
      <c r="BB20" s="407"/>
      <c r="BC20" s="404"/>
      <c r="BD20" s="405"/>
      <c r="BE20" s="406"/>
      <c r="BF20" s="406"/>
      <c r="BG20" s="407"/>
      <c r="BH20" s="404"/>
      <c r="BI20" s="405"/>
      <c r="BJ20" s="406"/>
      <c r="BK20" s="406"/>
      <c r="BL20" s="407"/>
      <c r="BM20" s="404"/>
      <c r="BN20" s="405"/>
      <c r="BO20" s="406"/>
      <c r="BP20" s="406"/>
      <c r="BQ20" s="407"/>
      <c r="BR20" s="404"/>
      <c r="BS20" s="405"/>
      <c r="BT20" s="406"/>
      <c r="BU20" s="406"/>
      <c r="BV20" s="407"/>
      <c r="BW20" s="404"/>
      <c r="BX20" s="405"/>
      <c r="BY20" s="406"/>
      <c r="BZ20" s="406"/>
      <c r="CA20" s="407"/>
      <c r="CB20" s="404"/>
      <c r="CC20" s="405"/>
      <c r="CD20" s="406"/>
      <c r="CE20" s="406"/>
      <c r="CF20" s="407"/>
      <c r="CG20" s="404"/>
      <c r="CH20" s="405"/>
      <c r="CI20" s="406"/>
      <c r="CJ20" s="406"/>
      <c r="CK20" s="407"/>
      <c r="CL20" s="404"/>
      <c r="CM20" s="405"/>
      <c r="CN20" s="406"/>
      <c r="CO20" s="406"/>
      <c r="CP20" s="407"/>
      <c r="CQ20" s="404"/>
      <c r="CR20" s="405"/>
      <c r="CS20" s="406"/>
      <c r="CT20" s="406"/>
      <c r="CU20" s="407"/>
      <c r="CV20" s="404"/>
      <c r="CW20" s="405"/>
      <c r="CX20" s="406"/>
      <c r="CY20" s="406"/>
      <c r="CZ20" s="407"/>
      <c r="DA20" s="404"/>
      <c r="DB20" s="405"/>
      <c r="DC20" s="406"/>
      <c r="DD20" s="406"/>
      <c r="DE20" s="407"/>
      <c r="DF20" s="404"/>
      <c r="DG20" s="405"/>
      <c r="DH20" s="406"/>
      <c r="DI20" s="406"/>
      <c r="DJ20" s="407"/>
    </row>
    <row r="21" spans="1:114" x14ac:dyDescent="0.15">
      <c r="A21" s="335"/>
      <c r="B21" s="26" t="s">
        <v>237</v>
      </c>
      <c r="C21" s="33"/>
      <c r="D21" s="339">
        <f>SUM(D22:D24)</f>
        <v>0.33333333333333337</v>
      </c>
      <c r="E21" s="336"/>
      <c r="F21" s="337"/>
      <c r="G21" s="337"/>
      <c r="H21" s="337"/>
      <c r="I21" s="338"/>
      <c r="J21" s="77" t="str">
        <f t="shared" si="170"/>
        <v/>
      </c>
      <c r="K21" s="196" t="str">
        <f t="shared" si="169"/>
        <v/>
      </c>
      <c r="L21" s="340"/>
      <c r="M21" s="341"/>
      <c r="N21" s="173" t="str">
        <f t="shared" si="167"/>
        <v/>
      </c>
      <c r="O21" s="404"/>
      <c r="P21" s="405"/>
      <c r="Q21" s="406"/>
      <c r="R21" s="406"/>
      <c r="S21" s="407"/>
      <c r="T21" s="404"/>
      <c r="U21" s="405"/>
      <c r="V21" s="406"/>
      <c r="W21" s="406"/>
      <c r="X21" s="407"/>
      <c r="Y21" s="404"/>
      <c r="Z21" s="405"/>
      <c r="AA21" s="406"/>
      <c r="AB21" s="406"/>
      <c r="AC21" s="407"/>
      <c r="AD21" s="404"/>
      <c r="AE21" s="405"/>
      <c r="AF21" s="406"/>
      <c r="AG21" s="406"/>
      <c r="AH21" s="407"/>
      <c r="AI21" s="404"/>
      <c r="AJ21" s="405"/>
      <c r="AK21" s="406"/>
      <c r="AL21" s="406"/>
      <c r="AM21" s="407"/>
      <c r="AN21" s="404"/>
      <c r="AO21" s="405"/>
      <c r="AP21" s="406"/>
      <c r="AQ21" s="406"/>
      <c r="AR21" s="407"/>
      <c r="AS21" s="404"/>
      <c r="AT21" s="405"/>
      <c r="AU21" s="406"/>
      <c r="AV21" s="406"/>
      <c r="AW21" s="407"/>
      <c r="AX21" s="404"/>
      <c r="AY21" s="405"/>
      <c r="AZ21" s="406"/>
      <c r="BA21" s="406"/>
      <c r="BB21" s="407"/>
      <c r="BC21" s="404"/>
      <c r="BD21" s="405"/>
      <c r="BE21" s="406"/>
      <c r="BF21" s="406"/>
      <c r="BG21" s="407"/>
      <c r="BH21" s="404"/>
      <c r="BI21" s="405"/>
      <c r="BJ21" s="406"/>
      <c r="BK21" s="406"/>
      <c r="BL21" s="407"/>
      <c r="BM21" s="404"/>
      <c r="BN21" s="405"/>
      <c r="BO21" s="406"/>
      <c r="BP21" s="406"/>
      <c r="BQ21" s="407"/>
      <c r="BR21" s="404"/>
      <c r="BS21" s="405"/>
      <c r="BT21" s="406"/>
      <c r="BU21" s="406"/>
      <c r="BV21" s="407"/>
      <c r="BW21" s="404"/>
      <c r="BX21" s="405"/>
      <c r="BY21" s="406"/>
      <c r="BZ21" s="406"/>
      <c r="CA21" s="407"/>
      <c r="CB21" s="404"/>
      <c r="CC21" s="405"/>
      <c r="CD21" s="406"/>
      <c r="CE21" s="406"/>
      <c r="CF21" s="407"/>
      <c r="CG21" s="404"/>
      <c r="CH21" s="405"/>
      <c r="CI21" s="406"/>
      <c r="CJ21" s="406"/>
      <c r="CK21" s="407"/>
      <c r="CL21" s="404"/>
      <c r="CM21" s="405"/>
      <c r="CN21" s="406"/>
      <c r="CO21" s="406"/>
      <c r="CP21" s="407"/>
      <c r="CQ21" s="404"/>
      <c r="CR21" s="405"/>
      <c r="CS21" s="406"/>
      <c r="CT21" s="406"/>
      <c r="CU21" s="407"/>
      <c r="CV21" s="404"/>
      <c r="CW21" s="405"/>
      <c r="CX21" s="406"/>
      <c r="CY21" s="406"/>
      <c r="CZ21" s="407"/>
      <c r="DA21" s="404"/>
      <c r="DB21" s="405"/>
      <c r="DC21" s="406"/>
      <c r="DD21" s="406"/>
      <c r="DE21" s="407"/>
      <c r="DF21" s="404"/>
      <c r="DG21" s="405"/>
      <c r="DH21" s="406"/>
      <c r="DI21" s="406"/>
      <c r="DJ21" s="407"/>
    </row>
    <row r="22" spans="1:114" x14ac:dyDescent="0.15">
      <c r="A22" s="335"/>
      <c r="B22" s="26"/>
      <c r="C22" s="33" t="s">
        <v>238</v>
      </c>
      <c r="D22" s="339">
        <v>6.25E-2</v>
      </c>
      <c r="E22" s="336"/>
      <c r="F22" s="337"/>
      <c r="G22" s="337">
        <v>1</v>
      </c>
      <c r="H22" s="337"/>
      <c r="I22" s="338"/>
      <c r="J22" s="77">
        <f t="shared" ref="J22:J26" si="171">IF(ISBLANK(C22),"",SUM(E22:I22))</f>
        <v>1</v>
      </c>
      <c r="K22" s="196">
        <f t="shared" si="169"/>
        <v>6.25E-2</v>
      </c>
      <c r="L22" s="340"/>
      <c r="M22" s="341" t="s">
        <v>234</v>
      </c>
      <c r="N22" s="173">
        <f t="shared" si="167"/>
        <v>1</v>
      </c>
      <c r="O22" s="404"/>
      <c r="P22" s="405"/>
      <c r="Q22" s="406"/>
      <c r="R22" s="406"/>
      <c r="S22" s="407"/>
      <c r="T22" s="404"/>
      <c r="U22" s="405"/>
      <c r="V22" s="406"/>
      <c r="W22" s="406"/>
      <c r="X22" s="407"/>
      <c r="Y22" s="404"/>
      <c r="Z22" s="405"/>
      <c r="AA22" s="406"/>
      <c r="AB22" s="406"/>
      <c r="AC22" s="407"/>
      <c r="AD22" s="404"/>
      <c r="AE22" s="405"/>
      <c r="AF22" s="406" t="s">
        <v>230</v>
      </c>
      <c r="AG22" s="406"/>
      <c r="AH22" s="407"/>
      <c r="AI22" s="404"/>
      <c r="AJ22" s="405"/>
      <c r="AK22" s="406"/>
      <c r="AL22" s="406"/>
      <c r="AM22" s="407"/>
      <c r="AN22" s="404"/>
      <c r="AO22" s="405"/>
      <c r="AP22" s="406"/>
      <c r="AQ22" s="406"/>
      <c r="AR22" s="407"/>
      <c r="AS22" s="404"/>
      <c r="AT22" s="405"/>
      <c r="AU22" s="406"/>
      <c r="AV22" s="406"/>
      <c r="AW22" s="407"/>
      <c r="AX22" s="404"/>
      <c r="AY22" s="405"/>
      <c r="AZ22" s="406"/>
      <c r="BA22" s="406"/>
      <c r="BB22" s="407"/>
      <c r="BC22" s="404"/>
      <c r="BD22" s="405"/>
      <c r="BE22" s="406"/>
      <c r="BF22" s="406"/>
      <c r="BG22" s="407"/>
      <c r="BH22" s="404"/>
      <c r="BI22" s="405"/>
      <c r="BJ22" s="406"/>
      <c r="BK22" s="406"/>
      <c r="BL22" s="407"/>
      <c r="BM22" s="404"/>
      <c r="BN22" s="405"/>
      <c r="BO22" s="406"/>
      <c r="BP22" s="406"/>
      <c r="BQ22" s="407"/>
      <c r="BR22" s="404"/>
      <c r="BS22" s="405"/>
      <c r="BT22" s="406"/>
      <c r="BU22" s="406"/>
      <c r="BV22" s="407"/>
      <c r="BW22" s="404"/>
      <c r="BX22" s="405"/>
      <c r="BY22" s="406"/>
      <c r="BZ22" s="406"/>
      <c r="CA22" s="407"/>
      <c r="CB22" s="404"/>
      <c r="CC22" s="405"/>
      <c r="CD22" s="406"/>
      <c r="CE22" s="406"/>
      <c r="CF22" s="407"/>
      <c r="CG22" s="404"/>
      <c r="CH22" s="405"/>
      <c r="CI22" s="406"/>
      <c r="CJ22" s="406"/>
      <c r="CK22" s="407"/>
      <c r="CL22" s="404"/>
      <c r="CM22" s="405"/>
      <c r="CN22" s="406"/>
      <c r="CO22" s="406"/>
      <c r="CP22" s="407"/>
      <c r="CQ22" s="404"/>
      <c r="CR22" s="405"/>
      <c r="CS22" s="406"/>
      <c r="CT22" s="406"/>
      <c r="CU22" s="407"/>
      <c r="CV22" s="404"/>
      <c r="CW22" s="405"/>
      <c r="CX22" s="406"/>
      <c r="CY22" s="406"/>
      <c r="CZ22" s="407"/>
      <c r="DA22" s="404"/>
      <c r="DB22" s="405"/>
      <c r="DC22" s="406"/>
      <c r="DD22" s="406"/>
      <c r="DE22" s="407"/>
      <c r="DF22" s="404"/>
      <c r="DG22" s="405"/>
      <c r="DH22" s="406"/>
      <c r="DI22" s="406"/>
      <c r="DJ22" s="407"/>
    </row>
    <row r="23" spans="1:114" x14ac:dyDescent="0.15">
      <c r="A23" s="335"/>
      <c r="B23" s="26"/>
      <c r="C23" s="33" t="s">
        <v>239</v>
      </c>
      <c r="D23" s="339">
        <v>0.125</v>
      </c>
      <c r="E23" s="336"/>
      <c r="F23" s="337"/>
      <c r="G23" s="337">
        <v>1</v>
      </c>
      <c r="H23" s="337"/>
      <c r="I23" s="338"/>
      <c r="J23" s="77">
        <f t="shared" si="171"/>
        <v>1</v>
      </c>
      <c r="K23" s="196">
        <f t="shared" si="169"/>
        <v>0.125</v>
      </c>
      <c r="L23" s="340"/>
      <c r="M23" s="341" t="s">
        <v>234</v>
      </c>
      <c r="N23" s="173">
        <f t="shared" si="167"/>
        <v>2</v>
      </c>
      <c r="O23" s="404"/>
      <c r="P23" s="405"/>
      <c r="Q23" s="406"/>
      <c r="R23" s="406"/>
      <c r="S23" s="407"/>
      <c r="T23" s="404"/>
      <c r="U23" s="405"/>
      <c r="V23" s="406"/>
      <c r="W23" s="406"/>
      <c r="X23" s="407"/>
      <c r="Y23" s="404"/>
      <c r="Z23" s="405"/>
      <c r="AA23" s="406"/>
      <c r="AB23" s="406"/>
      <c r="AC23" s="407"/>
      <c r="AD23" s="404"/>
      <c r="AE23" s="405"/>
      <c r="AF23" s="406" t="s">
        <v>230</v>
      </c>
      <c r="AG23" s="406"/>
      <c r="AH23" s="407"/>
      <c r="AI23" s="404"/>
      <c r="AJ23" s="405"/>
      <c r="AK23" s="406"/>
      <c r="AL23" s="406"/>
      <c r="AM23" s="407"/>
      <c r="AN23" s="404"/>
      <c r="AO23" s="405"/>
      <c r="AP23" s="406"/>
      <c r="AQ23" s="406"/>
      <c r="AR23" s="407"/>
      <c r="AS23" s="404"/>
      <c r="AT23" s="405"/>
      <c r="AU23" s="406" t="s">
        <v>230</v>
      </c>
      <c r="AV23" s="406"/>
      <c r="AW23" s="407"/>
      <c r="AX23" s="404"/>
      <c r="AY23" s="405"/>
      <c r="AZ23" s="406"/>
      <c r="BA23" s="406"/>
      <c r="BB23" s="407"/>
      <c r="BC23" s="404"/>
      <c r="BD23" s="405"/>
      <c r="BE23" s="406"/>
      <c r="BF23" s="406"/>
      <c r="BG23" s="407"/>
      <c r="BH23" s="404"/>
      <c r="BI23" s="405"/>
      <c r="BJ23" s="406"/>
      <c r="BK23" s="406"/>
      <c r="BL23" s="407"/>
      <c r="BM23" s="404"/>
      <c r="BN23" s="405"/>
      <c r="BO23" s="406"/>
      <c r="BP23" s="406"/>
      <c r="BQ23" s="407"/>
      <c r="BR23" s="404"/>
      <c r="BS23" s="405"/>
      <c r="BT23" s="406"/>
      <c r="BU23" s="406"/>
      <c r="BV23" s="407"/>
      <c r="BW23" s="404"/>
      <c r="BX23" s="405"/>
      <c r="BY23" s="406"/>
      <c r="BZ23" s="406"/>
      <c r="CA23" s="407"/>
      <c r="CB23" s="404"/>
      <c r="CC23" s="405"/>
      <c r="CD23" s="406"/>
      <c r="CE23" s="406"/>
      <c r="CF23" s="407"/>
      <c r="CG23" s="404"/>
      <c r="CH23" s="405"/>
      <c r="CI23" s="406"/>
      <c r="CJ23" s="406"/>
      <c r="CK23" s="407"/>
      <c r="CL23" s="404"/>
      <c r="CM23" s="405"/>
      <c r="CN23" s="406"/>
      <c r="CO23" s="406"/>
      <c r="CP23" s="407"/>
      <c r="CQ23" s="404"/>
      <c r="CR23" s="405"/>
      <c r="CS23" s="406"/>
      <c r="CT23" s="406"/>
      <c r="CU23" s="407"/>
      <c r="CV23" s="404"/>
      <c r="CW23" s="405"/>
      <c r="CX23" s="406"/>
      <c r="CY23" s="406"/>
      <c r="CZ23" s="407"/>
      <c r="DA23" s="404"/>
      <c r="DB23" s="405"/>
      <c r="DC23" s="406"/>
      <c r="DD23" s="406"/>
      <c r="DE23" s="407"/>
      <c r="DF23" s="404"/>
      <c r="DG23" s="405"/>
      <c r="DH23" s="406"/>
      <c r="DI23" s="406"/>
      <c r="DJ23" s="407"/>
    </row>
    <row r="24" spans="1:114" x14ac:dyDescent="0.15">
      <c r="A24" s="335"/>
      <c r="B24" s="26"/>
      <c r="C24" s="33" t="s">
        <v>240</v>
      </c>
      <c r="D24" s="339">
        <v>0.14583333333333334</v>
      </c>
      <c r="E24" s="336"/>
      <c r="F24" s="337"/>
      <c r="G24" s="337">
        <v>1</v>
      </c>
      <c r="H24" s="337"/>
      <c r="I24" s="338"/>
      <c r="J24" s="77">
        <f t="shared" si="171"/>
        <v>1</v>
      </c>
      <c r="K24" s="196">
        <f t="shared" si="169"/>
        <v>0.14583333333333331</v>
      </c>
      <c r="L24" s="340"/>
      <c r="M24" s="341" t="s">
        <v>234</v>
      </c>
      <c r="N24" s="173">
        <f t="shared" si="167"/>
        <v>2</v>
      </c>
      <c r="O24" s="404"/>
      <c r="P24" s="405"/>
      <c r="Q24" s="406"/>
      <c r="R24" s="406"/>
      <c r="S24" s="407"/>
      <c r="T24" s="404"/>
      <c r="U24" s="405"/>
      <c r="V24" s="406"/>
      <c r="W24" s="406"/>
      <c r="X24" s="407"/>
      <c r="Y24" s="404"/>
      <c r="Z24" s="405"/>
      <c r="AA24" s="406"/>
      <c r="AB24" s="406"/>
      <c r="AC24" s="407"/>
      <c r="AD24" s="404"/>
      <c r="AE24" s="405"/>
      <c r="AF24" s="406"/>
      <c r="AG24" s="406"/>
      <c r="AH24" s="407"/>
      <c r="AI24" s="404"/>
      <c r="AJ24" s="405"/>
      <c r="AK24" s="406"/>
      <c r="AL24" s="406"/>
      <c r="AM24" s="407"/>
      <c r="AN24" s="404"/>
      <c r="AO24" s="405"/>
      <c r="AP24" s="406"/>
      <c r="AQ24" s="406"/>
      <c r="AR24" s="407"/>
      <c r="AS24" s="404"/>
      <c r="AT24" s="405"/>
      <c r="AU24" s="406" t="s">
        <v>230</v>
      </c>
      <c r="AV24" s="406"/>
      <c r="AW24" s="407"/>
      <c r="AX24" s="404"/>
      <c r="AY24" s="405"/>
      <c r="AZ24" s="406" t="s">
        <v>230</v>
      </c>
      <c r="BA24" s="406"/>
      <c r="BB24" s="407"/>
      <c r="BC24" s="404"/>
      <c r="BD24" s="405"/>
      <c r="BE24" s="406"/>
      <c r="BF24" s="406"/>
      <c r="BG24" s="407"/>
      <c r="BH24" s="404"/>
      <c r="BI24" s="405"/>
      <c r="BJ24" s="406"/>
      <c r="BK24" s="406"/>
      <c r="BL24" s="407"/>
      <c r="BM24" s="404"/>
      <c r="BN24" s="405"/>
      <c r="BO24" s="406"/>
      <c r="BP24" s="406"/>
      <c r="BQ24" s="407"/>
      <c r="BR24" s="404"/>
      <c r="BS24" s="405"/>
      <c r="BT24" s="406"/>
      <c r="BU24" s="406"/>
      <c r="BV24" s="407"/>
      <c r="BW24" s="404"/>
      <c r="BX24" s="405"/>
      <c r="BY24" s="406"/>
      <c r="BZ24" s="406"/>
      <c r="CA24" s="407"/>
      <c r="CB24" s="404"/>
      <c r="CC24" s="405"/>
      <c r="CD24" s="406"/>
      <c r="CE24" s="406"/>
      <c r="CF24" s="407"/>
      <c r="CG24" s="404"/>
      <c r="CH24" s="405"/>
      <c r="CI24" s="406"/>
      <c r="CJ24" s="406"/>
      <c r="CK24" s="407"/>
      <c r="CL24" s="404"/>
      <c r="CM24" s="405"/>
      <c r="CN24" s="406"/>
      <c r="CO24" s="406"/>
      <c r="CP24" s="407"/>
      <c r="CQ24" s="404"/>
      <c r="CR24" s="405"/>
      <c r="CS24" s="406"/>
      <c r="CT24" s="406"/>
      <c r="CU24" s="407"/>
      <c r="CV24" s="404"/>
      <c r="CW24" s="405"/>
      <c r="CX24" s="406"/>
      <c r="CY24" s="406"/>
      <c r="CZ24" s="407"/>
      <c r="DA24" s="404"/>
      <c r="DB24" s="405"/>
      <c r="DC24" s="406"/>
      <c r="DD24" s="406"/>
      <c r="DE24" s="407"/>
      <c r="DF24" s="404"/>
      <c r="DG24" s="405"/>
      <c r="DH24" s="406"/>
      <c r="DI24" s="406"/>
      <c r="DJ24" s="407"/>
    </row>
    <row r="25" spans="1:114" x14ac:dyDescent="0.15">
      <c r="A25" s="335"/>
      <c r="B25" s="26" t="s">
        <v>241</v>
      </c>
      <c r="C25" s="33"/>
      <c r="D25" s="339">
        <f>SUM(D26:D34)</f>
        <v>1.0069444444444444</v>
      </c>
      <c r="E25" s="336"/>
      <c r="F25" s="337"/>
      <c r="G25" s="337"/>
      <c r="H25" s="337"/>
      <c r="I25" s="338"/>
      <c r="J25" s="77" t="str">
        <f t="shared" si="171"/>
        <v/>
      </c>
      <c r="K25" s="196" t="str">
        <f t="shared" si="169"/>
        <v/>
      </c>
      <c r="L25" s="340"/>
      <c r="M25" s="341"/>
      <c r="N25" s="173" t="str">
        <f t="shared" si="167"/>
        <v/>
      </c>
      <c r="O25" s="404"/>
      <c r="P25" s="405"/>
      <c r="Q25" s="406"/>
      <c r="R25" s="406"/>
      <c r="S25" s="407"/>
      <c r="T25" s="404"/>
      <c r="U25" s="405"/>
      <c r="V25" s="406"/>
      <c r="W25" s="406"/>
      <c r="X25" s="407"/>
      <c r="Y25" s="404"/>
      <c r="Z25" s="405"/>
      <c r="AA25" s="406"/>
      <c r="AB25" s="406"/>
      <c r="AC25" s="407"/>
      <c r="AD25" s="404"/>
      <c r="AE25" s="405"/>
      <c r="AF25" s="406"/>
      <c r="AG25" s="406"/>
      <c r="AH25" s="407"/>
      <c r="AI25" s="404"/>
      <c r="AJ25" s="405"/>
      <c r="AK25" s="406"/>
      <c r="AL25" s="406"/>
      <c r="AM25" s="407"/>
      <c r="AN25" s="404"/>
      <c r="AO25" s="405"/>
      <c r="AP25" s="406"/>
      <c r="AQ25" s="406"/>
      <c r="AR25" s="407"/>
      <c r="AS25" s="404"/>
      <c r="AT25" s="405"/>
      <c r="AU25" s="406"/>
      <c r="AV25" s="406"/>
      <c r="AW25" s="407"/>
      <c r="AX25" s="404"/>
      <c r="AY25" s="405"/>
      <c r="AZ25" s="406"/>
      <c r="BA25" s="406"/>
      <c r="BB25" s="407"/>
      <c r="BC25" s="404"/>
      <c r="BD25" s="405"/>
      <c r="BE25" s="406"/>
      <c r="BF25" s="406"/>
      <c r="BG25" s="407"/>
      <c r="BH25" s="404"/>
      <c r="BI25" s="405"/>
      <c r="BJ25" s="406"/>
      <c r="BK25" s="406"/>
      <c r="BL25" s="407"/>
      <c r="BM25" s="404"/>
      <c r="BN25" s="405"/>
      <c r="BO25" s="406"/>
      <c r="BP25" s="406"/>
      <c r="BQ25" s="407"/>
      <c r="BR25" s="404"/>
      <c r="BS25" s="405"/>
      <c r="BT25" s="406"/>
      <c r="BU25" s="406"/>
      <c r="BV25" s="407"/>
      <c r="BW25" s="404"/>
      <c r="BX25" s="405"/>
      <c r="BY25" s="406"/>
      <c r="BZ25" s="406"/>
      <c r="CA25" s="407"/>
      <c r="CB25" s="404"/>
      <c r="CC25" s="405"/>
      <c r="CD25" s="406"/>
      <c r="CE25" s="406"/>
      <c r="CF25" s="407"/>
      <c r="CG25" s="404"/>
      <c r="CH25" s="405"/>
      <c r="CI25" s="406"/>
      <c r="CJ25" s="406"/>
      <c r="CK25" s="407"/>
      <c r="CL25" s="404"/>
      <c r="CM25" s="405"/>
      <c r="CN25" s="406"/>
      <c r="CO25" s="406"/>
      <c r="CP25" s="407"/>
      <c r="CQ25" s="404"/>
      <c r="CR25" s="405"/>
      <c r="CS25" s="406"/>
      <c r="CT25" s="406"/>
      <c r="CU25" s="407"/>
      <c r="CV25" s="404"/>
      <c r="CW25" s="405"/>
      <c r="CX25" s="406"/>
      <c r="CY25" s="406"/>
      <c r="CZ25" s="407"/>
      <c r="DA25" s="404"/>
      <c r="DB25" s="405"/>
      <c r="DC25" s="406"/>
      <c r="DD25" s="406"/>
      <c r="DE25" s="407"/>
      <c r="DF25" s="404"/>
      <c r="DG25" s="405"/>
      <c r="DH25" s="406"/>
      <c r="DI25" s="406"/>
      <c r="DJ25" s="407"/>
    </row>
    <row r="26" spans="1:114" x14ac:dyDescent="0.15">
      <c r="A26" s="335"/>
      <c r="B26" s="26"/>
      <c r="C26" s="33" t="s">
        <v>242</v>
      </c>
      <c r="D26" s="339">
        <v>0.16666666666666666</v>
      </c>
      <c r="E26" s="336"/>
      <c r="F26" s="337">
        <v>1</v>
      </c>
      <c r="G26" s="337"/>
      <c r="H26" s="337"/>
      <c r="I26" s="338"/>
      <c r="J26" s="77">
        <f t="shared" si="171"/>
        <v>1</v>
      </c>
      <c r="K26" s="196">
        <f t="shared" si="169"/>
        <v>0.16666666666666666</v>
      </c>
      <c r="L26" s="340"/>
      <c r="M26" s="341" t="s">
        <v>234</v>
      </c>
      <c r="N26" s="173">
        <f t="shared" si="167"/>
        <v>1</v>
      </c>
      <c r="O26" s="404"/>
      <c r="P26" s="405"/>
      <c r="Q26" s="406"/>
      <c r="R26" s="406"/>
      <c r="S26" s="407"/>
      <c r="T26" s="404"/>
      <c r="U26" s="405"/>
      <c r="V26" s="406"/>
      <c r="W26" s="406"/>
      <c r="X26" s="407"/>
      <c r="Y26" s="404"/>
      <c r="Z26" s="405"/>
      <c r="AA26" s="406"/>
      <c r="AB26" s="406"/>
      <c r="AC26" s="407"/>
      <c r="AD26" s="404"/>
      <c r="AE26" s="405"/>
      <c r="AF26" s="406"/>
      <c r="AG26" s="406"/>
      <c r="AH26" s="407"/>
      <c r="AI26" s="404"/>
      <c r="AJ26" s="405"/>
      <c r="AK26" s="406"/>
      <c r="AL26" s="406"/>
      <c r="AM26" s="407"/>
      <c r="AN26" s="404"/>
      <c r="AO26" s="405"/>
      <c r="AP26" s="406"/>
      <c r="AQ26" s="406"/>
      <c r="AR26" s="407"/>
      <c r="AS26" s="404"/>
      <c r="AT26" s="405"/>
      <c r="AU26" s="406"/>
      <c r="AV26" s="406"/>
      <c r="AW26" s="407"/>
      <c r="AX26" s="404"/>
      <c r="AY26" s="405"/>
      <c r="AZ26" s="406" t="s">
        <v>230</v>
      </c>
      <c r="BA26" s="406"/>
      <c r="BB26" s="407"/>
      <c r="BC26" s="404"/>
      <c r="BD26" s="405"/>
      <c r="BE26" s="406"/>
      <c r="BF26" s="406"/>
      <c r="BG26" s="407"/>
      <c r="BH26" s="404"/>
      <c r="BI26" s="405"/>
      <c r="BJ26" s="406"/>
      <c r="BK26" s="406"/>
      <c r="BL26" s="407"/>
      <c r="BM26" s="404"/>
      <c r="BN26" s="405"/>
      <c r="BO26" s="406"/>
      <c r="BP26" s="406"/>
      <c r="BQ26" s="407"/>
      <c r="BR26" s="404"/>
      <c r="BS26" s="405"/>
      <c r="BT26" s="406"/>
      <c r="BU26" s="406"/>
      <c r="BV26" s="407"/>
      <c r="BW26" s="404"/>
      <c r="BX26" s="405"/>
      <c r="BY26" s="406"/>
      <c r="BZ26" s="406"/>
      <c r="CA26" s="407"/>
      <c r="CB26" s="404"/>
      <c r="CC26" s="405"/>
      <c r="CD26" s="406"/>
      <c r="CE26" s="406"/>
      <c r="CF26" s="407"/>
      <c r="CG26" s="404"/>
      <c r="CH26" s="405"/>
      <c r="CI26" s="406"/>
      <c r="CJ26" s="406"/>
      <c r="CK26" s="407"/>
      <c r="CL26" s="404"/>
      <c r="CM26" s="405"/>
      <c r="CN26" s="406"/>
      <c r="CO26" s="406"/>
      <c r="CP26" s="407"/>
      <c r="CQ26" s="404"/>
      <c r="CR26" s="405"/>
      <c r="CS26" s="406"/>
      <c r="CT26" s="406"/>
      <c r="CU26" s="407"/>
      <c r="CV26" s="404"/>
      <c r="CW26" s="405"/>
      <c r="CX26" s="406"/>
      <c r="CY26" s="406"/>
      <c r="CZ26" s="407"/>
      <c r="DA26" s="404"/>
      <c r="DB26" s="405"/>
      <c r="DC26" s="406"/>
      <c r="DD26" s="406"/>
      <c r="DE26" s="407"/>
      <c r="DF26" s="404"/>
      <c r="DG26" s="405"/>
      <c r="DH26" s="406"/>
      <c r="DI26" s="406"/>
      <c r="DJ26" s="407"/>
    </row>
    <row r="27" spans="1:114" x14ac:dyDescent="0.15">
      <c r="A27" s="335"/>
      <c r="B27" s="26"/>
      <c r="C27" s="33" t="s">
        <v>243</v>
      </c>
      <c r="D27" s="339">
        <v>6.25E-2</v>
      </c>
      <c r="E27" s="336"/>
      <c r="F27" s="337">
        <v>1</v>
      </c>
      <c r="G27" s="337"/>
      <c r="H27" s="337"/>
      <c r="I27" s="338"/>
      <c r="J27" s="77">
        <f t="shared" si="170"/>
        <v>1</v>
      </c>
      <c r="K27" s="196">
        <f t="shared" si="169"/>
        <v>6.25E-2</v>
      </c>
      <c r="L27" s="340"/>
      <c r="M27" s="341" t="s">
        <v>234</v>
      </c>
      <c r="N27" s="173">
        <f t="shared" si="167"/>
        <v>1</v>
      </c>
      <c r="O27" s="404"/>
      <c r="P27" s="405"/>
      <c r="Q27" s="406"/>
      <c r="R27" s="406"/>
      <c r="S27" s="407"/>
      <c r="T27" s="404"/>
      <c r="U27" s="405"/>
      <c r="V27" s="406"/>
      <c r="W27" s="406"/>
      <c r="X27" s="407"/>
      <c r="Y27" s="404"/>
      <c r="Z27" s="405"/>
      <c r="AA27" s="406"/>
      <c r="AB27" s="406"/>
      <c r="AC27" s="407"/>
      <c r="AD27" s="404"/>
      <c r="AE27" s="405"/>
      <c r="AF27" s="406"/>
      <c r="AG27" s="406"/>
      <c r="AH27" s="407"/>
      <c r="AI27" s="404"/>
      <c r="AJ27" s="405"/>
      <c r="AK27" s="406"/>
      <c r="AL27" s="406"/>
      <c r="AM27" s="407"/>
      <c r="AN27" s="404"/>
      <c r="AO27" s="405"/>
      <c r="AP27" s="406"/>
      <c r="AQ27" s="406"/>
      <c r="AR27" s="407"/>
      <c r="AS27" s="404"/>
      <c r="AT27" s="405"/>
      <c r="AU27" s="406"/>
      <c r="AV27" s="406"/>
      <c r="AW27" s="407"/>
      <c r="AX27" s="404"/>
      <c r="AY27" s="405"/>
      <c r="AZ27" s="406"/>
      <c r="BA27" s="406"/>
      <c r="BB27" s="407"/>
      <c r="BC27" s="404"/>
      <c r="BD27" s="405"/>
      <c r="BE27" s="406" t="s">
        <v>230</v>
      </c>
      <c r="BF27" s="406"/>
      <c r="BG27" s="407"/>
      <c r="BH27" s="404"/>
      <c r="BI27" s="405"/>
      <c r="BJ27" s="406"/>
      <c r="BK27" s="406"/>
      <c r="BL27" s="407"/>
      <c r="BM27" s="404"/>
      <c r="BN27" s="405"/>
      <c r="BO27" s="406"/>
      <c r="BP27" s="406"/>
      <c r="BQ27" s="407"/>
      <c r="BR27" s="404"/>
      <c r="BS27" s="405"/>
      <c r="BT27" s="406"/>
      <c r="BU27" s="406"/>
      <c r="BV27" s="407"/>
      <c r="BW27" s="404"/>
      <c r="BX27" s="405"/>
      <c r="BY27" s="406"/>
      <c r="BZ27" s="406"/>
      <c r="CA27" s="407"/>
      <c r="CB27" s="404"/>
      <c r="CC27" s="405"/>
      <c r="CD27" s="406"/>
      <c r="CE27" s="406"/>
      <c r="CF27" s="407"/>
      <c r="CG27" s="404"/>
      <c r="CH27" s="405"/>
      <c r="CI27" s="406"/>
      <c r="CJ27" s="406"/>
      <c r="CK27" s="407"/>
      <c r="CL27" s="404"/>
      <c r="CM27" s="405"/>
      <c r="CN27" s="406"/>
      <c r="CO27" s="406"/>
      <c r="CP27" s="407"/>
      <c r="CQ27" s="404"/>
      <c r="CR27" s="405"/>
      <c r="CS27" s="406"/>
      <c r="CT27" s="406"/>
      <c r="CU27" s="407"/>
      <c r="CV27" s="404"/>
      <c r="CW27" s="405"/>
      <c r="CX27" s="406"/>
      <c r="CY27" s="406"/>
      <c r="CZ27" s="407"/>
      <c r="DA27" s="404"/>
      <c r="DB27" s="405"/>
      <c r="DC27" s="406"/>
      <c r="DD27" s="406"/>
      <c r="DE27" s="407"/>
      <c r="DF27" s="404"/>
      <c r="DG27" s="405"/>
      <c r="DH27" s="406"/>
      <c r="DI27" s="406"/>
      <c r="DJ27" s="407"/>
    </row>
    <row r="28" spans="1:114" x14ac:dyDescent="0.15">
      <c r="A28" s="335"/>
      <c r="B28" s="26"/>
      <c r="C28" s="33" t="s">
        <v>244</v>
      </c>
      <c r="D28" s="339">
        <v>0.125</v>
      </c>
      <c r="E28" s="336"/>
      <c r="F28" s="337">
        <v>1</v>
      </c>
      <c r="G28" s="337"/>
      <c r="H28" s="337"/>
      <c r="I28" s="338"/>
      <c r="J28" s="77">
        <f t="shared" si="170"/>
        <v>1</v>
      </c>
      <c r="K28" s="196">
        <f t="shared" si="169"/>
        <v>0.125</v>
      </c>
      <c r="L28" s="340"/>
      <c r="M28" s="341" t="s">
        <v>234</v>
      </c>
      <c r="N28" s="173">
        <f t="shared" si="167"/>
        <v>2</v>
      </c>
      <c r="O28" s="404"/>
      <c r="P28" s="405"/>
      <c r="Q28" s="406"/>
      <c r="R28" s="406"/>
      <c r="S28" s="407"/>
      <c r="T28" s="404"/>
      <c r="U28" s="405"/>
      <c r="V28" s="406"/>
      <c r="W28" s="406"/>
      <c r="X28" s="407"/>
      <c r="Y28" s="404"/>
      <c r="Z28" s="405"/>
      <c r="AA28" s="406"/>
      <c r="AB28" s="406"/>
      <c r="AC28" s="407"/>
      <c r="AD28" s="404"/>
      <c r="AE28" s="405"/>
      <c r="AF28" s="406"/>
      <c r="AG28" s="406"/>
      <c r="AH28" s="407"/>
      <c r="AI28" s="404"/>
      <c r="AJ28" s="405"/>
      <c r="AK28" s="406"/>
      <c r="AL28" s="406"/>
      <c r="AM28" s="407"/>
      <c r="AN28" s="404"/>
      <c r="AO28" s="405"/>
      <c r="AP28" s="406"/>
      <c r="AQ28" s="406"/>
      <c r="AR28" s="407"/>
      <c r="AS28" s="404"/>
      <c r="AT28" s="405"/>
      <c r="AU28" s="406"/>
      <c r="AV28" s="406"/>
      <c r="AW28" s="407"/>
      <c r="AX28" s="404"/>
      <c r="AY28" s="405"/>
      <c r="AZ28" s="406"/>
      <c r="BA28" s="406"/>
      <c r="BB28" s="407"/>
      <c r="BC28" s="404"/>
      <c r="BD28" s="405"/>
      <c r="BE28" s="406" t="s">
        <v>230</v>
      </c>
      <c r="BF28" s="406"/>
      <c r="BG28" s="407"/>
      <c r="BH28" s="404"/>
      <c r="BI28" s="405"/>
      <c r="BJ28" s="406" t="s">
        <v>230</v>
      </c>
      <c r="BK28" s="406"/>
      <c r="BL28" s="407"/>
      <c r="BM28" s="404"/>
      <c r="BN28" s="405"/>
      <c r="BO28" s="406"/>
      <c r="BP28" s="406"/>
      <c r="BQ28" s="407"/>
      <c r="BR28" s="404"/>
      <c r="BS28" s="405"/>
      <c r="BT28" s="406"/>
      <c r="BU28" s="406"/>
      <c r="BV28" s="407"/>
      <c r="BW28" s="404"/>
      <c r="BX28" s="405"/>
      <c r="BY28" s="406"/>
      <c r="BZ28" s="406"/>
      <c r="CA28" s="407"/>
      <c r="CB28" s="404"/>
      <c r="CC28" s="405"/>
      <c r="CD28" s="406"/>
      <c r="CE28" s="406"/>
      <c r="CF28" s="407"/>
      <c r="CG28" s="404"/>
      <c r="CH28" s="405"/>
      <c r="CI28" s="406"/>
      <c r="CJ28" s="406"/>
      <c r="CK28" s="407"/>
      <c r="CL28" s="404"/>
      <c r="CM28" s="405"/>
      <c r="CN28" s="406"/>
      <c r="CO28" s="406"/>
      <c r="CP28" s="407"/>
      <c r="CQ28" s="404"/>
      <c r="CR28" s="405"/>
      <c r="CS28" s="406"/>
      <c r="CT28" s="406"/>
      <c r="CU28" s="407"/>
      <c r="CV28" s="404"/>
      <c r="CW28" s="405"/>
      <c r="CX28" s="406"/>
      <c r="CY28" s="406"/>
      <c r="CZ28" s="407"/>
      <c r="DA28" s="404"/>
      <c r="DB28" s="405"/>
      <c r="DC28" s="406"/>
      <c r="DD28" s="406"/>
      <c r="DE28" s="407"/>
      <c r="DF28" s="404"/>
      <c r="DG28" s="405"/>
      <c r="DH28" s="406"/>
      <c r="DI28" s="406"/>
      <c r="DJ28" s="407"/>
    </row>
    <row r="29" spans="1:114" x14ac:dyDescent="0.15">
      <c r="A29" s="335"/>
      <c r="B29" s="26"/>
      <c r="C29" s="33" t="s">
        <v>245</v>
      </c>
      <c r="D29" s="339">
        <v>0.125</v>
      </c>
      <c r="E29" s="336"/>
      <c r="F29" s="337">
        <v>1</v>
      </c>
      <c r="G29" s="337"/>
      <c r="H29" s="337"/>
      <c r="I29" s="338"/>
      <c r="J29" s="77">
        <f t="shared" si="170"/>
        <v>1</v>
      </c>
      <c r="K29" s="196">
        <f t="shared" si="169"/>
        <v>0.125</v>
      </c>
      <c r="L29" s="340"/>
      <c r="M29" s="341" t="s">
        <v>234</v>
      </c>
      <c r="N29" s="173">
        <f t="shared" si="167"/>
        <v>1</v>
      </c>
      <c r="O29" s="404"/>
      <c r="P29" s="405"/>
      <c r="Q29" s="406"/>
      <c r="R29" s="406"/>
      <c r="S29" s="407"/>
      <c r="T29" s="404"/>
      <c r="U29" s="405"/>
      <c r="V29" s="406"/>
      <c r="W29" s="406"/>
      <c r="X29" s="407"/>
      <c r="Y29" s="404"/>
      <c r="Z29" s="405"/>
      <c r="AA29" s="406"/>
      <c r="AB29" s="406"/>
      <c r="AC29" s="407"/>
      <c r="AD29" s="404"/>
      <c r="AE29" s="405"/>
      <c r="AF29" s="406"/>
      <c r="AG29" s="406"/>
      <c r="AH29" s="407"/>
      <c r="AI29" s="404"/>
      <c r="AJ29" s="405"/>
      <c r="AK29" s="406"/>
      <c r="AL29" s="406"/>
      <c r="AM29" s="407"/>
      <c r="AN29" s="404"/>
      <c r="AO29" s="405"/>
      <c r="AP29" s="406"/>
      <c r="AQ29" s="406"/>
      <c r="AR29" s="407"/>
      <c r="AS29" s="404"/>
      <c r="AT29" s="405"/>
      <c r="AU29" s="406"/>
      <c r="AV29" s="406"/>
      <c r="AW29" s="407"/>
      <c r="AX29" s="404"/>
      <c r="AY29" s="405"/>
      <c r="AZ29" s="406"/>
      <c r="BA29" s="406"/>
      <c r="BB29" s="407"/>
      <c r="BC29" s="404"/>
      <c r="BD29" s="405"/>
      <c r="BE29" s="406"/>
      <c r="BF29" s="406"/>
      <c r="BG29" s="407"/>
      <c r="BH29" s="404"/>
      <c r="BI29" s="405"/>
      <c r="BJ29" s="406" t="s">
        <v>230</v>
      </c>
      <c r="BK29" s="406"/>
      <c r="BL29" s="407"/>
      <c r="BM29" s="404"/>
      <c r="BN29" s="405"/>
      <c r="BO29" s="406"/>
      <c r="BP29" s="406"/>
      <c r="BQ29" s="407"/>
      <c r="BR29" s="404"/>
      <c r="BS29" s="405"/>
      <c r="BT29" s="406"/>
      <c r="BU29" s="406"/>
      <c r="BV29" s="407"/>
      <c r="BW29" s="404"/>
      <c r="BX29" s="405"/>
      <c r="BY29" s="406"/>
      <c r="BZ29" s="406"/>
      <c r="CA29" s="407"/>
      <c r="CB29" s="404"/>
      <c r="CC29" s="405"/>
      <c r="CD29" s="406"/>
      <c r="CE29" s="406"/>
      <c r="CF29" s="407"/>
      <c r="CG29" s="404"/>
      <c r="CH29" s="405"/>
      <c r="CI29" s="406"/>
      <c r="CJ29" s="406"/>
      <c r="CK29" s="407"/>
      <c r="CL29" s="404"/>
      <c r="CM29" s="405"/>
      <c r="CN29" s="406"/>
      <c r="CO29" s="406"/>
      <c r="CP29" s="407"/>
      <c r="CQ29" s="404"/>
      <c r="CR29" s="405"/>
      <c r="CS29" s="406"/>
      <c r="CT29" s="406"/>
      <c r="CU29" s="407"/>
      <c r="CV29" s="404"/>
      <c r="CW29" s="405"/>
      <c r="CX29" s="406"/>
      <c r="CY29" s="406"/>
      <c r="CZ29" s="407"/>
      <c r="DA29" s="404"/>
      <c r="DB29" s="405"/>
      <c r="DC29" s="406"/>
      <c r="DD29" s="406"/>
      <c r="DE29" s="407"/>
      <c r="DF29" s="404"/>
      <c r="DG29" s="405"/>
      <c r="DH29" s="406"/>
      <c r="DI29" s="406"/>
      <c r="DJ29" s="407"/>
    </row>
    <row r="30" spans="1:114" x14ac:dyDescent="0.15">
      <c r="A30" s="335"/>
      <c r="B30" s="26"/>
      <c r="C30" s="33" t="s">
        <v>246</v>
      </c>
      <c r="D30" s="339">
        <v>8.3333333333333329E-2</v>
      </c>
      <c r="E30" s="336"/>
      <c r="F30" s="337">
        <v>1</v>
      </c>
      <c r="G30" s="337"/>
      <c r="H30" s="337"/>
      <c r="I30" s="338"/>
      <c r="J30" s="77">
        <f t="shared" si="170"/>
        <v>1</v>
      </c>
      <c r="K30" s="196">
        <f t="shared" si="169"/>
        <v>8.3333333333333329E-2</v>
      </c>
      <c r="L30" s="340"/>
      <c r="M30" s="341" t="s">
        <v>234</v>
      </c>
      <c r="N30" s="173">
        <f t="shared" si="167"/>
        <v>2</v>
      </c>
      <c r="O30" s="404"/>
      <c r="P30" s="405"/>
      <c r="Q30" s="406"/>
      <c r="R30" s="406"/>
      <c r="S30" s="407"/>
      <c r="T30" s="404"/>
      <c r="U30" s="405"/>
      <c r="V30" s="406"/>
      <c r="W30" s="406"/>
      <c r="X30" s="407"/>
      <c r="Y30" s="404"/>
      <c r="Z30" s="405"/>
      <c r="AA30" s="406"/>
      <c r="AB30" s="406"/>
      <c r="AC30" s="407"/>
      <c r="AD30" s="404"/>
      <c r="AE30" s="405"/>
      <c r="AF30" s="406"/>
      <c r="AG30" s="406"/>
      <c r="AH30" s="407"/>
      <c r="AI30" s="404"/>
      <c r="AJ30" s="405"/>
      <c r="AK30" s="406"/>
      <c r="AL30" s="406"/>
      <c r="AM30" s="407"/>
      <c r="AN30" s="404"/>
      <c r="AO30" s="405"/>
      <c r="AP30" s="406"/>
      <c r="AQ30" s="406"/>
      <c r="AR30" s="407"/>
      <c r="AS30" s="404"/>
      <c r="AT30" s="405"/>
      <c r="AU30" s="406"/>
      <c r="AV30" s="406"/>
      <c r="AW30" s="407"/>
      <c r="AX30" s="404"/>
      <c r="AY30" s="405"/>
      <c r="AZ30" s="406"/>
      <c r="BA30" s="406"/>
      <c r="BB30" s="407"/>
      <c r="BC30" s="404"/>
      <c r="BD30" s="405"/>
      <c r="BE30" s="406"/>
      <c r="BF30" s="406"/>
      <c r="BG30" s="407"/>
      <c r="BH30" s="404"/>
      <c r="BI30" s="405"/>
      <c r="BJ30" s="406" t="s">
        <v>230</v>
      </c>
      <c r="BK30" s="406"/>
      <c r="BL30" s="407"/>
      <c r="BM30" s="404"/>
      <c r="BN30" s="405"/>
      <c r="BO30" s="406" t="s">
        <v>230</v>
      </c>
      <c r="BP30" s="406"/>
      <c r="BQ30" s="407"/>
      <c r="BR30" s="404"/>
      <c r="BS30" s="405"/>
      <c r="BT30" s="406"/>
      <c r="BU30" s="406"/>
      <c r="BV30" s="407"/>
      <c r="BW30" s="404"/>
      <c r="BX30" s="405"/>
      <c r="BY30" s="406"/>
      <c r="BZ30" s="406"/>
      <c r="CA30" s="407"/>
      <c r="CB30" s="404"/>
      <c r="CC30" s="405"/>
      <c r="CD30" s="406"/>
      <c r="CE30" s="406"/>
      <c r="CF30" s="407"/>
      <c r="CG30" s="404"/>
      <c r="CH30" s="405"/>
      <c r="CI30" s="406"/>
      <c r="CJ30" s="406"/>
      <c r="CK30" s="407"/>
      <c r="CL30" s="404"/>
      <c r="CM30" s="405"/>
      <c r="CN30" s="406"/>
      <c r="CO30" s="406"/>
      <c r="CP30" s="407"/>
      <c r="CQ30" s="404"/>
      <c r="CR30" s="405"/>
      <c r="CS30" s="406"/>
      <c r="CT30" s="406"/>
      <c r="CU30" s="407"/>
      <c r="CV30" s="404"/>
      <c r="CW30" s="405"/>
      <c r="CX30" s="406"/>
      <c r="CY30" s="406"/>
      <c r="CZ30" s="407"/>
      <c r="DA30" s="404"/>
      <c r="DB30" s="405"/>
      <c r="DC30" s="406"/>
      <c r="DD30" s="406"/>
      <c r="DE30" s="407"/>
      <c r="DF30" s="404"/>
      <c r="DG30" s="405"/>
      <c r="DH30" s="406"/>
      <c r="DI30" s="406"/>
      <c r="DJ30" s="407"/>
    </row>
    <row r="31" spans="1:114" x14ac:dyDescent="0.15">
      <c r="A31" s="335"/>
      <c r="B31" s="26"/>
      <c r="C31" s="33" t="s">
        <v>247</v>
      </c>
      <c r="D31" s="339">
        <v>0.125</v>
      </c>
      <c r="E31" s="336"/>
      <c r="F31" s="337">
        <v>1</v>
      </c>
      <c r="G31" s="337"/>
      <c r="H31" s="337"/>
      <c r="I31" s="338"/>
      <c r="J31" s="77">
        <f t="shared" si="170"/>
        <v>1</v>
      </c>
      <c r="K31" s="196">
        <f t="shared" si="169"/>
        <v>0.125</v>
      </c>
      <c r="L31" s="340"/>
      <c r="M31" s="341" t="s">
        <v>234</v>
      </c>
      <c r="N31" s="173">
        <f t="shared" si="167"/>
        <v>1</v>
      </c>
      <c r="O31" s="404"/>
      <c r="P31" s="405"/>
      <c r="Q31" s="406"/>
      <c r="R31" s="406"/>
      <c r="S31" s="407"/>
      <c r="T31" s="404"/>
      <c r="U31" s="405"/>
      <c r="V31" s="406"/>
      <c r="W31" s="406"/>
      <c r="X31" s="407"/>
      <c r="Y31" s="404"/>
      <c r="Z31" s="405"/>
      <c r="AA31" s="406"/>
      <c r="AB31" s="406"/>
      <c r="AC31" s="407"/>
      <c r="AD31" s="404"/>
      <c r="AE31" s="405"/>
      <c r="AF31" s="406"/>
      <c r="AG31" s="406"/>
      <c r="AH31" s="407"/>
      <c r="AI31" s="404"/>
      <c r="AJ31" s="405"/>
      <c r="AK31" s="406"/>
      <c r="AL31" s="406"/>
      <c r="AM31" s="407"/>
      <c r="AN31" s="404"/>
      <c r="AO31" s="405"/>
      <c r="AP31" s="406"/>
      <c r="AQ31" s="406"/>
      <c r="AR31" s="407"/>
      <c r="AS31" s="404"/>
      <c r="AT31" s="405"/>
      <c r="AU31" s="406"/>
      <c r="AV31" s="406"/>
      <c r="AW31" s="407"/>
      <c r="AX31" s="404"/>
      <c r="AY31" s="405"/>
      <c r="AZ31" s="406"/>
      <c r="BA31" s="406"/>
      <c r="BB31" s="407"/>
      <c r="BC31" s="404"/>
      <c r="BD31" s="405"/>
      <c r="BE31" s="406"/>
      <c r="BF31" s="406"/>
      <c r="BG31" s="407"/>
      <c r="BH31" s="404"/>
      <c r="BI31" s="405"/>
      <c r="BJ31" s="406"/>
      <c r="BK31" s="406"/>
      <c r="BL31" s="407"/>
      <c r="BM31" s="404"/>
      <c r="BN31" s="405"/>
      <c r="BO31" s="406" t="s">
        <v>230</v>
      </c>
      <c r="BP31" s="406"/>
      <c r="BQ31" s="407"/>
      <c r="BR31" s="404"/>
      <c r="BS31" s="405"/>
      <c r="BT31" s="406"/>
      <c r="BU31" s="406"/>
      <c r="BV31" s="407"/>
      <c r="BW31" s="404"/>
      <c r="BX31" s="405"/>
      <c r="BY31" s="406"/>
      <c r="BZ31" s="406"/>
      <c r="CA31" s="407"/>
      <c r="CB31" s="404"/>
      <c r="CC31" s="405"/>
      <c r="CD31" s="406"/>
      <c r="CE31" s="406"/>
      <c r="CF31" s="407"/>
      <c r="CG31" s="404"/>
      <c r="CH31" s="405"/>
      <c r="CI31" s="406"/>
      <c r="CJ31" s="406"/>
      <c r="CK31" s="407"/>
      <c r="CL31" s="404"/>
      <c r="CM31" s="405"/>
      <c r="CN31" s="406"/>
      <c r="CO31" s="406"/>
      <c r="CP31" s="407"/>
      <c r="CQ31" s="404"/>
      <c r="CR31" s="405"/>
      <c r="CS31" s="406"/>
      <c r="CT31" s="406"/>
      <c r="CU31" s="407"/>
      <c r="CV31" s="404"/>
      <c r="CW31" s="405"/>
      <c r="CX31" s="406"/>
      <c r="CY31" s="406"/>
      <c r="CZ31" s="407"/>
      <c r="DA31" s="404"/>
      <c r="DB31" s="405"/>
      <c r="DC31" s="406"/>
      <c r="DD31" s="406"/>
      <c r="DE31" s="407"/>
      <c r="DF31" s="404"/>
      <c r="DG31" s="405"/>
      <c r="DH31" s="406"/>
      <c r="DI31" s="406"/>
      <c r="DJ31" s="407"/>
    </row>
    <row r="32" spans="1:114" x14ac:dyDescent="0.15">
      <c r="A32" s="335"/>
      <c r="B32" s="26"/>
      <c r="C32" s="33" t="s">
        <v>248</v>
      </c>
      <c r="D32" s="339">
        <v>0.10416666666666667</v>
      </c>
      <c r="E32" s="336"/>
      <c r="F32" s="337">
        <v>1</v>
      </c>
      <c r="G32" s="337"/>
      <c r="H32" s="337"/>
      <c r="I32" s="338"/>
      <c r="J32" s="77">
        <f t="shared" si="170"/>
        <v>1</v>
      </c>
      <c r="K32" s="196">
        <f t="shared" si="169"/>
        <v>0.10416666666666666</v>
      </c>
      <c r="L32" s="340"/>
      <c r="M32" s="341" t="s">
        <v>234</v>
      </c>
      <c r="N32" s="173">
        <f t="shared" si="167"/>
        <v>1</v>
      </c>
      <c r="O32" s="404"/>
      <c r="P32" s="405"/>
      <c r="Q32" s="406"/>
      <c r="R32" s="406"/>
      <c r="S32" s="407"/>
      <c r="T32" s="404"/>
      <c r="U32" s="405"/>
      <c r="V32" s="406"/>
      <c r="W32" s="406"/>
      <c r="X32" s="407"/>
      <c r="Y32" s="404"/>
      <c r="Z32" s="405"/>
      <c r="AA32" s="406"/>
      <c r="AB32" s="406"/>
      <c r="AC32" s="407"/>
      <c r="AD32" s="404"/>
      <c r="AE32" s="405"/>
      <c r="AF32" s="406"/>
      <c r="AG32" s="406"/>
      <c r="AH32" s="407"/>
      <c r="AI32" s="404"/>
      <c r="AJ32" s="405"/>
      <c r="AK32" s="406"/>
      <c r="AL32" s="406"/>
      <c r="AM32" s="407"/>
      <c r="AN32" s="404"/>
      <c r="AO32" s="405"/>
      <c r="AP32" s="406"/>
      <c r="AQ32" s="406"/>
      <c r="AR32" s="407"/>
      <c r="AS32" s="404"/>
      <c r="AT32" s="405"/>
      <c r="AU32" s="406"/>
      <c r="AV32" s="406"/>
      <c r="AW32" s="407"/>
      <c r="AX32" s="404"/>
      <c r="AY32" s="405"/>
      <c r="AZ32" s="406"/>
      <c r="BA32" s="406"/>
      <c r="BB32" s="407"/>
      <c r="BC32" s="404"/>
      <c r="BD32" s="405"/>
      <c r="BE32" s="406"/>
      <c r="BF32" s="406"/>
      <c r="BG32" s="407"/>
      <c r="BH32" s="404"/>
      <c r="BI32" s="405"/>
      <c r="BJ32" s="406"/>
      <c r="BK32" s="406"/>
      <c r="BL32" s="407"/>
      <c r="BM32" s="404"/>
      <c r="BN32" s="405"/>
      <c r="BO32" s="406"/>
      <c r="BP32" s="406"/>
      <c r="BQ32" s="407"/>
      <c r="BR32" s="404"/>
      <c r="BS32" s="405"/>
      <c r="BT32" s="406" t="s">
        <v>230</v>
      </c>
      <c r="BU32" s="406"/>
      <c r="BV32" s="407"/>
      <c r="BW32" s="404"/>
      <c r="BX32" s="405"/>
      <c r="BY32" s="406"/>
      <c r="BZ32" s="406"/>
      <c r="CA32" s="407"/>
      <c r="CB32" s="404"/>
      <c r="CC32" s="405"/>
      <c r="CD32" s="406"/>
      <c r="CE32" s="406"/>
      <c r="CF32" s="407"/>
      <c r="CG32" s="404"/>
      <c r="CH32" s="405"/>
      <c r="CI32" s="406"/>
      <c r="CJ32" s="406"/>
      <c r="CK32" s="407"/>
      <c r="CL32" s="404"/>
      <c r="CM32" s="405"/>
      <c r="CN32" s="406"/>
      <c r="CO32" s="406"/>
      <c r="CP32" s="407"/>
      <c r="CQ32" s="404"/>
      <c r="CR32" s="405"/>
      <c r="CS32" s="406"/>
      <c r="CT32" s="406"/>
      <c r="CU32" s="407"/>
      <c r="CV32" s="404"/>
      <c r="CW32" s="405"/>
      <c r="CX32" s="406"/>
      <c r="CY32" s="406"/>
      <c r="CZ32" s="407"/>
      <c r="DA32" s="404"/>
      <c r="DB32" s="405"/>
      <c r="DC32" s="406"/>
      <c r="DD32" s="406"/>
      <c r="DE32" s="407"/>
      <c r="DF32" s="404"/>
      <c r="DG32" s="405"/>
      <c r="DH32" s="406"/>
      <c r="DI32" s="406"/>
      <c r="DJ32" s="407"/>
    </row>
    <row r="33" spans="1:114" ht="14" thickBot="1" x14ac:dyDescent="0.2">
      <c r="A33" s="377"/>
      <c r="B33" s="34"/>
      <c r="C33" s="35" t="s">
        <v>249</v>
      </c>
      <c r="D33" s="378">
        <v>8.3333333333333329E-2</v>
      </c>
      <c r="E33" s="379"/>
      <c r="F33" s="380">
        <v>1</v>
      </c>
      <c r="G33" s="380"/>
      <c r="H33" s="380"/>
      <c r="I33" s="381"/>
      <c r="J33" s="185">
        <f t="shared" si="170"/>
        <v>1</v>
      </c>
      <c r="K33" s="382">
        <f t="shared" si="169"/>
        <v>8.3333333333333329E-2</v>
      </c>
      <c r="L33" s="383"/>
      <c r="M33" s="384" t="s">
        <v>234</v>
      </c>
      <c r="N33" s="173">
        <f t="shared" si="167"/>
        <v>2</v>
      </c>
      <c r="O33" s="404"/>
      <c r="P33" s="405"/>
      <c r="Q33" s="406"/>
      <c r="R33" s="406"/>
      <c r="S33" s="407"/>
      <c r="T33" s="404"/>
      <c r="U33" s="405"/>
      <c r="V33" s="406"/>
      <c r="W33" s="406"/>
      <c r="X33" s="407"/>
      <c r="Y33" s="404"/>
      <c r="Z33" s="405"/>
      <c r="AA33" s="406"/>
      <c r="AB33" s="406"/>
      <c r="AC33" s="407"/>
      <c r="AD33" s="404"/>
      <c r="AE33" s="405"/>
      <c r="AF33" s="406"/>
      <c r="AG33" s="406"/>
      <c r="AH33" s="407"/>
      <c r="AI33" s="404"/>
      <c r="AJ33" s="405"/>
      <c r="AK33" s="406"/>
      <c r="AL33" s="406"/>
      <c r="AM33" s="407"/>
      <c r="AN33" s="404"/>
      <c r="AO33" s="405"/>
      <c r="AP33" s="406"/>
      <c r="AQ33" s="406"/>
      <c r="AR33" s="407"/>
      <c r="AS33" s="404"/>
      <c r="AT33" s="405"/>
      <c r="AU33" s="406"/>
      <c r="AV33" s="406"/>
      <c r="AW33" s="407"/>
      <c r="AX33" s="404"/>
      <c r="AY33" s="405"/>
      <c r="AZ33" s="406"/>
      <c r="BA33" s="406"/>
      <c r="BB33" s="407"/>
      <c r="BC33" s="404"/>
      <c r="BD33" s="405"/>
      <c r="BE33" s="406"/>
      <c r="BF33" s="406"/>
      <c r="BG33" s="407"/>
      <c r="BH33" s="404"/>
      <c r="BI33" s="405"/>
      <c r="BJ33" s="406"/>
      <c r="BK33" s="406"/>
      <c r="BL33" s="407"/>
      <c r="BM33" s="404"/>
      <c r="BN33" s="405"/>
      <c r="BO33" s="406"/>
      <c r="BP33" s="406"/>
      <c r="BQ33" s="407"/>
      <c r="BR33" s="404"/>
      <c r="BS33" s="405"/>
      <c r="BT33" s="406" t="s">
        <v>230</v>
      </c>
      <c r="BU33" s="406"/>
      <c r="BV33" s="407"/>
      <c r="BW33" s="404"/>
      <c r="BX33" s="405"/>
      <c r="BY33" s="406" t="s">
        <v>230</v>
      </c>
      <c r="BZ33" s="406"/>
      <c r="CA33" s="407"/>
      <c r="CB33" s="404"/>
      <c r="CC33" s="405"/>
      <c r="CD33" s="406"/>
      <c r="CE33" s="406"/>
      <c r="CF33" s="407"/>
      <c r="CG33" s="404"/>
      <c r="CH33" s="405"/>
      <c r="CI33" s="406"/>
      <c r="CJ33" s="406"/>
      <c r="CK33" s="407"/>
      <c r="CL33" s="404"/>
      <c r="CM33" s="405"/>
      <c r="CN33" s="406"/>
      <c r="CO33" s="406"/>
      <c r="CP33" s="407"/>
      <c r="CQ33" s="404"/>
      <c r="CR33" s="405"/>
      <c r="CS33" s="406"/>
      <c r="CT33" s="406"/>
      <c r="CU33" s="407"/>
      <c r="CV33" s="404"/>
      <c r="CW33" s="405"/>
      <c r="CX33" s="406"/>
      <c r="CY33" s="406"/>
      <c r="CZ33" s="407"/>
      <c r="DA33" s="404"/>
      <c r="DB33" s="405"/>
      <c r="DC33" s="406"/>
      <c r="DD33" s="406"/>
      <c r="DE33" s="407"/>
      <c r="DF33" s="404"/>
      <c r="DG33" s="405"/>
      <c r="DH33" s="406"/>
      <c r="DI33" s="406"/>
      <c r="DJ33" s="407"/>
    </row>
    <row r="34" spans="1:114" ht="14" thickBot="1" x14ac:dyDescent="0.2">
      <c r="A34" s="377"/>
      <c r="B34" s="34"/>
      <c r="C34" s="35" t="s">
        <v>250</v>
      </c>
      <c r="D34" s="378">
        <v>0.13194444444444445</v>
      </c>
      <c r="E34" s="379"/>
      <c r="F34" s="380">
        <v>1</v>
      </c>
      <c r="G34" s="380"/>
      <c r="H34" s="380"/>
      <c r="I34" s="381"/>
      <c r="J34" s="185">
        <f t="shared" si="170"/>
        <v>1</v>
      </c>
      <c r="K34" s="382">
        <f t="shared" si="169"/>
        <v>0.13541666666666666</v>
      </c>
      <c r="L34" s="383"/>
      <c r="M34" s="384" t="s">
        <v>234</v>
      </c>
      <c r="N34" s="173">
        <f t="shared" si="167"/>
        <v>1</v>
      </c>
      <c r="O34" s="404"/>
      <c r="P34" s="405"/>
      <c r="Q34" s="406"/>
      <c r="R34" s="406"/>
      <c r="S34" s="407"/>
      <c r="T34" s="404"/>
      <c r="U34" s="405"/>
      <c r="V34" s="406"/>
      <c r="W34" s="406"/>
      <c r="X34" s="407"/>
      <c r="Y34" s="404"/>
      <c r="Z34" s="405"/>
      <c r="AA34" s="406"/>
      <c r="AB34" s="406"/>
      <c r="AC34" s="407"/>
      <c r="AD34" s="404"/>
      <c r="AE34" s="405"/>
      <c r="AF34" s="406"/>
      <c r="AG34" s="406"/>
      <c r="AH34" s="407"/>
      <c r="AI34" s="404"/>
      <c r="AJ34" s="405"/>
      <c r="AK34" s="406"/>
      <c r="AL34" s="406"/>
      <c r="AM34" s="407"/>
      <c r="AN34" s="404"/>
      <c r="AO34" s="405"/>
      <c r="AP34" s="406"/>
      <c r="AQ34" s="406"/>
      <c r="AR34" s="407"/>
      <c r="AS34" s="404"/>
      <c r="AT34" s="405"/>
      <c r="AU34" s="406"/>
      <c r="AV34" s="406"/>
      <c r="AW34" s="407"/>
      <c r="AX34" s="404"/>
      <c r="AY34" s="405"/>
      <c r="AZ34" s="406"/>
      <c r="BA34" s="406"/>
      <c r="BB34" s="407"/>
      <c r="BC34" s="404"/>
      <c r="BD34" s="405"/>
      <c r="BE34" s="406"/>
      <c r="BF34" s="406"/>
      <c r="BG34" s="407"/>
      <c r="BH34" s="404"/>
      <c r="BI34" s="405"/>
      <c r="BJ34" s="406"/>
      <c r="BK34" s="406"/>
      <c r="BL34" s="407"/>
      <c r="BM34" s="404"/>
      <c r="BN34" s="405"/>
      <c r="BO34" s="406"/>
      <c r="BP34" s="406"/>
      <c r="BQ34" s="407"/>
      <c r="BR34" s="404"/>
      <c r="BS34" s="405"/>
      <c r="BT34" s="406"/>
      <c r="BU34" s="406"/>
      <c r="BV34" s="407"/>
      <c r="BW34" s="404"/>
      <c r="BX34" s="405"/>
      <c r="BY34" s="406" t="s">
        <v>230</v>
      </c>
      <c r="BZ34" s="406"/>
      <c r="CA34" s="407"/>
      <c r="CB34" s="404"/>
      <c r="CC34" s="405"/>
      <c r="CD34" s="406"/>
      <c r="CE34" s="406"/>
      <c r="CF34" s="407"/>
      <c r="CG34" s="404"/>
      <c r="CH34" s="405"/>
      <c r="CI34" s="406"/>
      <c r="CJ34" s="406"/>
      <c r="CK34" s="407"/>
      <c r="CL34" s="404"/>
      <c r="CM34" s="405"/>
      <c r="CN34" s="406"/>
      <c r="CO34" s="406"/>
      <c r="CP34" s="407"/>
      <c r="CQ34" s="404"/>
      <c r="CR34" s="405"/>
      <c r="CS34" s="406"/>
      <c r="CT34" s="406"/>
      <c r="CU34" s="407"/>
      <c r="CV34" s="404"/>
      <c r="CW34" s="405"/>
      <c r="CX34" s="406"/>
      <c r="CY34" s="406"/>
      <c r="CZ34" s="407"/>
      <c r="DA34" s="404"/>
      <c r="DB34" s="405"/>
      <c r="DC34" s="406"/>
      <c r="DD34" s="406"/>
      <c r="DE34" s="407"/>
      <c r="DF34" s="404"/>
      <c r="DG34" s="405"/>
      <c r="DH34" s="406"/>
      <c r="DI34" s="406"/>
      <c r="DJ34" s="407"/>
    </row>
    <row r="35" spans="1:114" ht="14" thickBot="1" x14ac:dyDescent="0.2">
      <c r="A35" s="377"/>
      <c r="B35" s="34" t="s">
        <v>251</v>
      </c>
      <c r="C35" s="35"/>
      <c r="D35" s="378">
        <f>SUM(D36:D38)</f>
        <v>0.20833333333333331</v>
      </c>
      <c r="E35" s="379"/>
      <c r="F35" s="380"/>
      <c r="G35" s="380"/>
      <c r="H35" s="380"/>
      <c r="I35" s="381"/>
      <c r="J35" s="185" t="str">
        <f t="shared" si="170"/>
        <v/>
      </c>
      <c r="K35" s="382" t="str">
        <f t="shared" si="169"/>
        <v/>
      </c>
      <c r="L35" s="383"/>
      <c r="M35" s="384"/>
      <c r="N35" s="173" t="str">
        <f t="shared" si="167"/>
        <v/>
      </c>
      <c r="O35" s="404"/>
      <c r="P35" s="405"/>
      <c r="Q35" s="406"/>
      <c r="R35" s="406"/>
      <c r="S35" s="407"/>
      <c r="T35" s="404"/>
      <c r="U35" s="405"/>
      <c r="V35" s="406"/>
      <c r="W35" s="406"/>
      <c r="X35" s="407"/>
      <c r="Y35" s="404"/>
      <c r="Z35" s="405"/>
      <c r="AA35" s="406"/>
      <c r="AB35" s="406"/>
      <c r="AC35" s="407"/>
      <c r="AD35" s="404"/>
      <c r="AE35" s="405"/>
      <c r="AF35" s="406"/>
      <c r="AG35" s="406"/>
      <c r="AH35" s="407"/>
      <c r="AI35" s="404"/>
      <c r="AJ35" s="405"/>
      <c r="AK35" s="406"/>
      <c r="AL35" s="406"/>
      <c r="AM35" s="407"/>
      <c r="AN35" s="404"/>
      <c r="AO35" s="405"/>
      <c r="AP35" s="406"/>
      <c r="AQ35" s="406"/>
      <c r="AR35" s="407"/>
      <c r="AS35" s="404"/>
      <c r="AT35" s="405"/>
      <c r="AU35" s="406"/>
      <c r="AV35" s="406"/>
      <c r="AW35" s="407"/>
      <c r="AX35" s="404"/>
      <c r="AY35" s="405"/>
      <c r="AZ35" s="406"/>
      <c r="BA35" s="406"/>
      <c r="BB35" s="407"/>
      <c r="BC35" s="404"/>
      <c r="BD35" s="405"/>
      <c r="BE35" s="406"/>
      <c r="BF35" s="406"/>
      <c r="BG35" s="407"/>
      <c r="BH35" s="404"/>
      <c r="BI35" s="405"/>
      <c r="BJ35" s="406"/>
      <c r="BK35" s="406"/>
      <c r="BL35" s="407"/>
      <c r="BM35" s="404"/>
      <c r="BN35" s="405"/>
      <c r="BO35" s="406"/>
      <c r="BP35" s="406"/>
      <c r="BQ35" s="407"/>
      <c r="BR35" s="404"/>
      <c r="BS35" s="405"/>
      <c r="BT35" s="406"/>
      <c r="BU35" s="406"/>
      <c r="BV35" s="407"/>
      <c r="BW35" s="404"/>
      <c r="BX35" s="405"/>
      <c r="BY35" s="406"/>
      <c r="BZ35" s="406"/>
      <c r="CA35" s="407"/>
      <c r="CB35" s="404"/>
      <c r="CC35" s="405"/>
      <c r="CD35" s="406"/>
      <c r="CE35" s="406"/>
      <c r="CF35" s="407"/>
      <c r="CG35" s="404"/>
      <c r="CH35" s="405"/>
      <c r="CI35" s="406"/>
      <c r="CJ35" s="406"/>
      <c r="CK35" s="407"/>
      <c r="CL35" s="404"/>
      <c r="CM35" s="405"/>
      <c r="CN35" s="406"/>
      <c r="CO35" s="406"/>
      <c r="CP35" s="407"/>
      <c r="CQ35" s="404"/>
      <c r="CR35" s="405"/>
      <c r="CS35" s="406"/>
      <c r="CT35" s="406"/>
      <c r="CU35" s="407"/>
      <c r="CV35" s="404"/>
      <c r="CW35" s="405"/>
      <c r="CX35" s="406"/>
      <c r="CY35" s="406"/>
      <c r="CZ35" s="407"/>
      <c r="DA35" s="404"/>
      <c r="DB35" s="405"/>
      <c r="DC35" s="406"/>
      <c r="DD35" s="406"/>
      <c r="DE35" s="407"/>
      <c r="DF35" s="404"/>
      <c r="DG35" s="405"/>
      <c r="DH35" s="406"/>
      <c r="DI35" s="406"/>
      <c r="DJ35" s="407"/>
    </row>
    <row r="36" spans="1:114" ht="14" thickBot="1" x14ac:dyDescent="0.2">
      <c r="A36" s="377"/>
      <c r="B36" s="34"/>
      <c r="C36" s="35" t="s">
        <v>252</v>
      </c>
      <c r="D36" s="378">
        <v>8.3333333333333329E-2</v>
      </c>
      <c r="E36" s="379"/>
      <c r="F36" s="380">
        <v>1</v>
      </c>
      <c r="G36" s="380"/>
      <c r="H36" s="380"/>
      <c r="I36" s="381"/>
      <c r="J36" s="185">
        <f t="shared" si="170"/>
        <v>1</v>
      </c>
      <c r="K36" s="382">
        <f t="shared" si="169"/>
        <v>8.3333333333333329E-2</v>
      </c>
      <c r="L36" s="383"/>
      <c r="M36" s="384" t="s">
        <v>234</v>
      </c>
      <c r="N36" s="173">
        <f t="shared" si="167"/>
        <v>2</v>
      </c>
      <c r="O36" s="404"/>
      <c r="P36" s="405"/>
      <c r="Q36" s="406"/>
      <c r="R36" s="406"/>
      <c r="S36" s="407"/>
      <c r="T36" s="404"/>
      <c r="U36" s="405"/>
      <c r="V36" s="406"/>
      <c r="W36" s="406"/>
      <c r="X36" s="407"/>
      <c r="Y36" s="404"/>
      <c r="Z36" s="405"/>
      <c r="AA36" s="406"/>
      <c r="AB36" s="406"/>
      <c r="AC36" s="407"/>
      <c r="AD36" s="404"/>
      <c r="AE36" s="405"/>
      <c r="AF36" s="406"/>
      <c r="AG36" s="406"/>
      <c r="AH36" s="407"/>
      <c r="AI36" s="404"/>
      <c r="AJ36" s="405"/>
      <c r="AK36" s="406"/>
      <c r="AL36" s="406"/>
      <c r="AM36" s="407"/>
      <c r="AN36" s="404"/>
      <c r="AO36" s="405"/>
      <c r="AP36" s="406"/>
      <c r="AQ36" s="406"/>
      <c r="AR36" s="407"/>
      <c r="AS36" s="404"/>
      <c r="AT36" s="405"/>
      <c r="AU36" s="406"/>
      <c r="AV36" s="406"/>
      <c r="AW36" s="407"/>
      <c r="AX36" s="404"/>
      <c r="AY36" s="405"/>
      <c r="AZ36" s="406"/>
      <c r="BA36" s="406"/>
      <c r="BB36" s="407"/>
      <c r="BC36" s="404"/>
      <c r="BD36" s="405"/>
      <c r="BE36" s="406"/>
      <c r="BF36" s="406"/>
      <c r="BG36" s="407"/>
      <c r="BH36" s="404"/>
      <c r="BI36" s="405"/>
      <c r="BJ36" s="406"/>
      <c r="BK36" s="406"/>
      <c r="BL36" s="407"/>
      <c r="BM36" s="404"/>
      <c r="BN36" s="405"/>
      <c r="BO36" s="406"/>
      <c r="BP36" s="406"/>
      <c r="BQ36" s="407"/>
      <c r="BR36" s="404"/>
      <c r="BS36" s="405"/>
      <c r="BT36" s="406"/>
      <c r="BU36" s="406"/>
      <c r="BV36" s="407"/>
      <c r="BW36" s="404"/>
      <c r="BX36" s="405"/>
      <c r="BY36" s="406" t="s">
        <v>230</v>
      </c>
      <c r="BZ36" s="406"/>
      <c r="CA36" s="407"/>
      <c r="CB36" s="404"/>
      <c r="CC36" s="405"/>
      <c r="CD36" s="406" t="s">
        <v>230</v>
      </c>
      <c r="CE36" s="406"/>
      <c r="CF36" s="407"/>
      <c r="CG36" s="404"/>
      <c r="CH36" s="405"/>
      <c r="CI36" s="406"/>
      <c r="CJ36" s="406"/>
      <c r="CK36" s="407"/>
      <c r="CL36" s="404"/>
      <c r="CM36" s="405"/>
      <c r="CN36" s="406"/>
      <c r="CO36" s="406"/>
      <c r="CP36" s="407"/>
      <c r="CQ36" s="404"/>
      <c r="CR36" s="405"/>
      <c r="CS36" s="406"/>
      <c r="CT36" s="406"/>
      <c r="CU36" s="407"/>
      <c r="CV36" s="404"/>
      <c r="CW36" s="405"/>
      <c r="CX36" s="406"/>
      <c r="CY36" s="406"/>
      <c r="CZ36" s="407"/>
      <c r="DA36" s="404"/>
      <c r="DB36" s="405"/>
      <c r="DC36" s="406"/>
      <c r="DD36" s="406"/>
      <c r="DE36" s="407"/>
      <c r="DF36" s="404"/>
      <c r="DG36" s="405"/>
      <c r="DH36" s="406"/>
      <c r="DI36" s="406"/>
      <c r="DJ36" s="407"/>
    </row>
    <row r="37" spans="1:114" ht="14" thickBot="1" x14ac:dyDescent="0.2">
      <c r="A37" s="377"/>
      <c r="B37" s="34"/>
      <c r="C37" s="35" t="s">
        <v>253</v>
      </c>
      <c r="D37" s="378">
        <v>4.1666666666666664E-2</v>
      </c>
      <c r="E37" s="379"/>
      <c r="F37" s="380">
        <v>1</v>
      </c>
      <c r="G37" s="380"/>
      <c r="H37" s="380"/>
      <c r="I37" s="381"/>
      <c r="J37" s="185">
        <f t="shared" si="170"/>
        <v>1</v>
      </c>
      <c r="K37" s="382">
        <f t="shared" si="169"/>
        <v>4.1666666666666664E-2</v>
      </c>
      <c r="L37" s="383"/>
      <c r="M37" s="384" t="s">
        <v>234</v>
      </c>
      <c r="N37" s="173">
        <f t="shared" si="167"/>
        <v>1</v>
      </c>
      <c r="O37" s="404"/>
      <c r="P37" s="405"/>
      <c r="Q37" s="406"/>
      <c r="R37" s="406"/>
      <c r="S37" s="407"/>
      <c r="T37" s="404"/>
      <c r="U37" s="405"/>
      <c r="V37" s="406"/>
      <c r="W37" s="406"/>
      <c r="X37" s="407"/>
      <c r="Y37" s="404"/>
      <c r="Z37" s="405"/>
      <c r="AA37" s="406"/>
      <c r="AB37" s="406"/>
      <c r="AC37" s="407"/>
      <c r="AD37" s="404"/>
      <c r="AE37" s="405"/>
      <c r="AF37" s="406"/>
      <c r="AG37" s="406"/>
      <c r="AH37" s="407"/>
      <c r="AI37" s="404"/>
      <c r="AJ37" s="405"/>
      <c r="AK37" s="406"/>
      <c r="AL37" s="406"/>
      <c r="AM37" s="407"/>
      <c r="AN37" s="404"/>
      <c r="AO37" s="405"/>
      <c r="AP37" s="406"/>
      <c r="AQ37" s="406"/>
      <c r="AR37" s="407"/>
      <c r="AS37" s="404"/>
      <c r="AT37" s="405"/>
      <c r="AU37" s="406"/>
      <c r="AV37" s="406"/>
      <c r="AW37" s="407"/>
      <c r="AX37" s="404"/>
      <c r="AY37" s="405"/>
      <c r="AZ37" s="406"/>
      <c r="BA37" s="406"/>
      <c r="BB37" s="407"/>
      <c r="BC37" s="404"/>
      <c r="BD37" s="405"/>
      <c r="BE37" s="406"/>
      <c r="BF37" s="406"/>
      <c r="BG37" s="407"/>
      <c r="BH37" s="404"/>
      <c r="BI37" s="405"/>
      <c r="BJ37" s="406"/>
      <c r="BK37" s="406"/>
      <c r="BL37" s="407"/>
      <c r="BM37" s="404"/>
      <c r="BN37" s="405"/>
      <c r="BO37" s="406"/>
      <c r="BP37" s="406"/>
      <c r="BQ37" s="407"/>
      <c r="BR37" s="404"/>
      <c r="BS37" s="405"/>
      <c r="BT37" s="406"/>
      <c r="BU37" s="406"/>
      <c r="BV37" s="407"/>
      <c r="BW37" s="404"/>
      <c r="BX37" s="405"/>
      <c r="BY37" s="406"/>
      <c r="BZ37" s="406"/>
      <c r="CA37" s="407"/>
      <c r="CB37" s="404"/>
      <c r="CC37" s="405"/>
      <c r="CD37" s="406" t="s">
        <v>230</v>
      </c>
      <c r="CE37" s="406"/>
      <c r="CF37" s="407"/>
      <c r="CG37" s="404"/>
      <c r="CH37" s="405"/>
      <c r="CI37" s="406"/>
      <c r="CJ37" s="406"/>
      <c r="CK37" s="407"/>
      <c r="CL37" s="404"/>
      <c r="CM37" s="405"/>
      <c r="CN37" s="406"/>
      <c r="CO37" s="406"/>
      <c r="CP37" s="407"/>
      <c r="CQ37" s="404"/>
      <c r="CR37" s="405"/>
      <c r="CS37" s="406"/>
      <c r="CT37" s="406"/>
      <c r="CU37" s="407"/>
      <c r="CV37" s="404"/>
      <c r="CW37" s="405"/>
      <c r="CX37" s="406"/>
      <c r="CY37" s="406"/>
      <c r="CZ37" s="407"/>
      <c r="DA37" s="404"/>
      <c r="DB37" s="405"/>
      <c r="DC37" s="406"/>
      <c r="DD37" s="406"/>
      <c r="DE37" s="407"/>
      <c r="DF37" s="404"/>
      <c r="DG37" s="405"/>
      <c r="DH37" s="406"/>
      <c r="DI37" s="406"/>
      <c r="DJ37" s="407"/>
    </row>
    <row r="38" spans="1:114" ht="14" thickBot="1" x14ac:dyDescent="0.2">
      <c r="A38" s="377"/>
      <c r="B38" s="34"/>
      <c r="C38" s="35" t="s">
        <v>254</v>
      </c>
      <c r="D38" s="378">
        <v>8.3333333333333329E-2</v>
      </c>
      <c r="E38" s="379"/>
      <c r="F38" s="380">
        <v>1</v>
      </c>
      <c r="G38" s="380"/>
      <c r="H38" s="380"/>
      <c r="I38" s="381"/>
      <c r="J38" s="185">
        <f t="shared" si="170"/>
        <v>1</v>
      </c>
      <c r="K38" s="382">
        <f t="shared" si="169"/>
        <v>8.3333333333333329E-2</v>
      </c>
      <c r="L38" s="383"/>
      <c r="M38" s="384" t="s">
        <v>234</v>
      </c>
      <c r="N38" s="173">
        <f t="shared" si="167"/>
        <v>2</v>
      </c>
      <c r="O38" s="404"/>
      <c r="P38" s="405"/>
      <c r="Q38" s="406"/>
      <c r="R38" s="406"/>
      <c r="S38" s="407"/>
      <c r="T38" s="404"/>
      <c r="U38" s="405"/>
      <c r="V38" s="406"/>
      <c r="W38" s="406"/>
      <c r="X38" s="407"/>
      <c r="Y38" s="404"/>
      <c r="Z38" s="405"/>
      <c r="AA38" s="406"/>
      <c r="AB38" s="406"/>
      <c r="AC38" s="407"/>
      <c r="AD38" s="404"/>
      <c r="AE38" s="405"/>
      <c r="AF38" s="406"/>
      <c r="AG38" s="406"/>
      <c r="AH38" s="407"/>
      <c r="AI38" s="404"/>
      <c r="AJ38" s="405"/>
      <c r="AK38" s="406"/>
      <c r="AL38" s="406"/>
      <c r="AM38" s="407"/>
      <c r="AN38" s="404"/>
      <c r="AO38" s="405"/>
      <c r="AP38" s="406"/>
      <c r="AQ38" s="406"/>
      <c r="AR38" s="407"/>
      <c r="AS38" s="404"/>
      <c r="AT38" s="405"/>
      <c r="AU38" s="406"/>
      <c r="AV38" s="406"/>
      <c r="AW38" s="407"/>
      <c r="AX38" s="404"/>
      <c r="AY38" s="405"/>
      <c r="AZ38" s="406"/>
      <c r="BA38" s="406"/>
      <c r="BB38" s="407"/>
      <c r="BC38" s="404"/>
      <c r="BD38" s="405"/>
      <c r="BE38" s="406"/>
      <c r="BF38" s="406"/>
      <c r="BG38" s="407"/>
      <c r="BH38" s="404"/>
      <c r="BI38" s="405"/>
      <c r="BJ38" s="406"/>
      <c r="BK38" s="406"/>
      <c r="BL38" s="407"/>
      <c r="BM38" s="404"/>
      <c r="BN38" s="405"/>
      <c r="BO38" s="406"/>
      <c r="BP38" s="406"/>
      <c r="BQ38" s="407"/>
      <c r="BR38" s="404"/>
      <c r="BS38" s="405"/>
      <c r="BT38" s="406"/>
      <c r="BU38" s="406"/>
      <c r="BV38" s="407"/>
      <c r="BW38" s="404"/>
      <c r="BX38" s="405"/>
      <c r="BY38" s="406"/>
      <c r="BZ38" s="406"/>
      <c r="CA38" s="407"/>
      <c r="CB38" s="404"/>
      <c r="CC38" s="405"/>
      <c r="CD38" s="406" t="s">
        <v>230</v>
      </c>
      <c r="CE38" s="406"/>
      <c r="CF38" s="407"/>
      <c r="CG38" s="404"/>
      <c r="CH38" s="405"/>
      <c r="CI38" s="406" t="s">
        <v>230</v>
      </c>
      <c r="CJ38" s="406"/>
      <c r="CK38" s="407"/>
      <c r="CL38" s="404"/>
      <c r="CM38" s="405"/>
      <c r="CN38" s="406"/>
      <c r="CO38" s="406"/>
      <c r="CP38" s="407"/>
      <c r="CQ38" s="404"/>
      <c r="CR38" s="405"/>
      <c r="CS38" s="406"/>
      <c r="CT38" s="406"/>
      <c r="CU38" s="407"/>
      <c r="CV38" s="404"/>
      <c r="CW38" s="405"/>
      <c r="CX38" s="406"/>
      <c r="CY38" s="406"/>
      <c r="CZ38" s="407"/>
      <c r="DA38" s="404"/>
      <c r="DB38" s="405"/>
      <c r="DC38" s="406"/>
      <c r="DD38" s="406"/>
      <c r="DE38" s="407"/>
      <c r="DF38" s="404"/>
      <c r="DG38" s="405"/>
      <c r="DH38" s="406"/>
      <c r="DI38" s="406"/>
      <c r="DJ38" s="407"/>
    </row>
    <row r="39" spans="1:114" ht="14" thickBot="1" x14ac:dyDescent="0.2">
      <c r="A39" s="377"/>
      <c r="B39" s="34" t="s">
        <v>255</v>
      </c>
      <c r="C39" s="35"/>
      <c r="D39" s="378">
        <f>SUM(D40:D41)</f>
        <v>0.16666666666666666</v>
      </c>
      <c r="E39" s="379"/>
      <c r="F39" s="380"/>
      <c r="G39" s="380"/>
      <c r="H39" s="380"/>
      <c r="I39" s="381"/>
      <c r="J39" s="185" t="str">
        <f t="shared" si="170"/>
        <v/>
      </c>
      <c r="K39" s="382" t="str">
        <f t="shared" si="169"/>
        <v/>
      </c>
      <c r="L39" s="383"/>
      <c r="M39" s="384"/>
      <c r="N39" s="173" t="str">
        <f t="shared" si="167"/>
        <v/>
      </c>
      <c r="O39" s="404"/>
      <c r="P39" s="405"/>
      <c r="Q39" s="406"/>
      <c r="R39" s="406"/>
      <c r="S39" s="407"/>
      <c r="T39" s="404"/>
      <c r="U39" s="405"/>
      <c r="V39" s="406"/>
      <c r="W39" s="406"/>
      <c r="X39" s="407"/>
      <c r="Y39" s="404"/>
      <c r="Z39" s="405"/>
      <c r="AA39" s="406"/>
      <c r="AB39" s="406"/>
      <c r="AC39" s="407"/>
      <c r="AD39" s="404"/>
      <c r="AE39" s="405"/>
      <c r="AF39" s="406"/>
      <c r="AG39" s="406"/>
      <c r="AH39" s="407"/>
      <c r="AI39" s="404"/>
      <c r="AJ39" s="405"/>
      <c r="AK39" s="406"/>
      <c r="AL39" s="406"/>
      <c r="AM39" s="407"/>
      <c r="AN39" s="404"/>
      <c r="AO39" s="405"/>
      <c r="AP39" s="406"/>
      <c r="AQ39" s="406"/>
      <c r="AR39" s="407"/>
      <c r="AS39" s="404"/>
      <c r="AT39" s="405"/>
      <c r="AU39" s="406"/>
      <c r="AV39" s="406"/>
      <c r="AW39" s="407"/>
      <c r="AX39" s="404"/>
      <c r="AY39" s="405"/>
      <c r="AZ39" s="406"/>
      <c r="BA39" s="406"/>
      <c r="BB39" s="407"/>
      <c r="BC39" s="404"/>
      <c r="BD39" s="405"/>
      <c r="BE39" s="406"/>
      <c r="BF39" s="406"/>
      <c r="BG39" s="407"/>
      <c r="BH39" s="404"/>
      <c r="BI39" s="405"/>
      <c r="BJ39" s="406"/>
      <c r="BK39" s="406"/>
      <c r="BL39" s="407"/>
      <c r="BM39" s="404"/>
      <c r="BN39" s="405"/>
      <c r="BO39" s="406"/>
      <c r="BP39" s="406"/>
      <c r="BQ39" s="407"/>
      <c r="BR39" s="404"/>
      <c r="BS39" s="405"/>
      <c r="BT39" s="406"/>
      <c r="BU39" s="406"/>
      <c r="BV39" s="407"/>
      <c r="BW39" s="404"/>
      <c r="BX39" s="405"/>
      <c r="BY39" s="406"/>
      <c r="BZ39" s="406"/>
      <c r="CA39" s="407"/>
      <c r="CB39" s="404"/>
      <c r="CC39" s="405"/>
      <c r="CD39" s="406"/>
      <c r="CE39" s="406"/>
      <c r="CF39" s="407"/>
      <c r="CG39" s="404"/>
      <c r="CH39" s="405"/>
      <c r="CI39" s="406"/>
      <c r="CJ39" s="406"/>
      <c r="CK39" s="407"/>
      <c r="CL39" s="404"/>
      <c r="CM39" s="405"/>
      <c r="CN39" s="406"/>
      <c r="CO39" s="406"/>
      <c r="CP39" s="407"/>
      <c r="CQ39" s="404"/>
      <c r="CR39" s="405"/>
      <c r="CS39" s="406"/>
      <c r="CT39" s="406"/>
      <c r="CU39" s="407"/>
      <c r="CV39" s="404"/>
      <c r="CW39" s="405"/>
      <c r="CX39" s="406"/>
      <c r="CY39" s="406"/>
      <c r="CZ39" s="407"/>
      <c r="DA39" s="404"/>
      <c r="DB39" s="405"/>
      <c r="DC39" s="406"/>
      <c r="DD39" s="406"/>
      <c r="DE39" s="407"/>
      <c r="DF39" s="404"/>
      <c r="DG39" s="405"/>
      <c r="DH39" s="406"/>
      <c r="DI39" s="406"/>
      <c r="DJ39" s="407"/>
    </row>
    <row r="40" spans="1:114" ht="14" thickBot="1" x14ac:dyDescent="0.2">
      <c r="A40" s="377"/>
      <c r="B40" s="34"/>
      <c r="C40" s="35" t="s">
        <v>256</v>
      </c>
      <c r="D40" s="378">
        <v>0.125</v>
      </c>
      <c r="E40" s="379"/>
      <c r="F40" s="380">
        <v>1</v>
      </c>
      <c r="G40" s="380"/>
      <c r="H40" s="380"/>
      <c r="I40" s="381"/>
      <c r="J40" s="185">
        <f t="shared" si="170"/>
        <v>1</v>
      </c>
      <c r="K40" s="382">
        <f t="shared" si="169"/>
        <v>0.125</v>
      </c>
      <c r="L40" s="383"/>
      <c r="M40" s="384" t="s">
        <v>234</v>
      </c>
      <c r="N40" s="173">
        <f t="shared" si="167"/>
        <v>1</v>
      </c>
      <c r="O40" s="404"/>
      <c r="P40" s="405"/>
      <c r="Q40" s="406"/>
      <c r="R40" s="406"/>
      <c r="S40" s="407"/>
      <c r="T40" s="404"/>
      <c r="U40" s="405"/>
      <c r="V40" s="406"/>
      <c r="W40" s="406"/>
      <c r="X40" s="407"/>
      <c r="Y40" s="404"/>
      <c r="Z40" s="405"/>
      <c r="AA40" s="406"/>
      <c r="AB40" s="406"/>
      <c r="AC40" s="407"/>
      <c r="AD40" s="404"/>
      <c r="AE40" s="405"/>
      <c r="AF40" s="406"/>
      <c r="AG40" s="406"/>
      <c r="AH40" s="407"/>
      <c r="AI40" s="404"/>
      <c r="AJ40" s="405"/>
      <c r="AK40" s="406"/>
      <c r="AL40" s="406"/>
      <c r="AM40" s="407"/>
      <c r="AN40" s="404"/>
      <c r="AO40" s="405"/>
      <c r="AP40" s="406"/>
      <c r="AQ40" s="406"/>
      <c r="AR40" s="407"/>
      <c r="AS40" s="404"/>
      <c r="AT40" s="405"/>
      <c r="AU40" s="406"/>
      <c r="AV40" s="406"/>
      <c r="AW40" s="407"/>
      <c r="AX40" s="404"/>
      <c r="AY40" s="405"/>
      <c r="AZ40" s="406"/>
      <c r="BA40" s="406"/>
      <c r="BB40" s="407"/>
      <c r="BC40" s="404"/>
      <c r="BD40" s="405"/>
      <c r="BE40" s="406"/>
      <c r="BF40" s="406"/>
      <c r="BG40" s="407"/>
      <c r="BH40" s="404"/>
      <c r="BI40" s="405"/>
      <c r="BJ40" s="406"/>
      <c r="BK40" s="406"/>
      <c r="BL40" s="407"/>
      <c r="BM40" s="404"/>
      <c r="BN40" s="405"/>
      <c r="BO40" s="406"/>
      <c r="BP40" s="406"/>
      <c r="BQ40" s="407"/>
      <c r="BR40" s="404"/>
      <c r="BS40" s="405"/>
      <c r="BT40" s="406"/>
      <c r="BU40" s="406"/>
      <c r="BV40" s="407"/>
      <c r="BW40" s="404"/>
      <c r="BX40" s="405"/>
      <c r="BY40" s="406"/>
      <c r="BZ40" s="406"/>
      <c r="CA40" s="407"/>
      <c r="CB40" s="404"/>
      <c r="CC40" s="405"/>
      <c r="CD40" s="406"/>
      <c r="CE40" s="406"/>
      <c r="CF40" s="407"/>
      <c r="CG40" s="404"/>
      <c r="CH40" s="405"/>
      <c r="CI40" s="406" t="s">
        <v>230</v>
      </c>
      <c r="CJ40" s="406"/>
      <c r="CK40" s="407"/>
      <c r="CL40" s="404"/>
      <c r="CM40" s="405"/>
      <c r="CN40" s="406"/>
      <c r="CO40" s="406"/>
      <c r="CP40" s="407"/>
      <c r="CQ40" s="404"/>
      <c r="CR40" s="405"/>
      <c r="CS40" s="406"/>
      <c r="CT40" s="406"/>
      <c r="CU40" s="407"/>
      <c r="CV40" s="404"/>
      <c r="CW40" s="405"/>
      <c r="CX40" s="406"/>
      <c r="CY40" s="406"/>
      <c r="CZ40" s="407"/>
      <c r="DA40" s="404"/>
      <c r="DB40" s="405"/>
      <c r="DC40" s="406"/>
      <c r="DD40" s="406"/>
      <c r="DE40" s="407"/>
      <c r="DF40" s="404"/>
      <c r="DG40" s="405"/>
      <c r="DH40" s="406"/>
      <c r="DI40" s="406"/>
      <c r="DJ40" s="407"/>
    </row>
    <row r="41" spans="1:114" ht="14" thickBot="1" x14ac:dyDescent="0.2">
      <c r="A41" s="377"/>
      <c r="B41" s="34"/>
      <c r="C41" s="35" t="s">
        <v>257</v>
      </c>
      <c r="D41" s="378">
        <v>4.1666666666666664E-2</v>
      </c>
      <c r="E41" s="379"/>
      <c r="F41" s="380">
        <v>1</v>
      </c>
      <c r="G41" s="380"/>
      <c r="H41" s="380"/>
      <c r="I41" s="381"/>
      <c r="J41" s="185">
        <f t="shared" si="170"/>
        <v>1</v>
      </c>
      <c r="K41" s="382">
        <f t="shared" si="169"/>
        <v>4.1666666666666664E-2</v>
      </c>
      <c r="L41" s="383"/>
      <c r="M41" s="384" t="s">
        <v>234</v>
      </c>
      <c r="N41" s="173">
        <f t="shared" si="167"/>
        <v>1</v>
      </c>
      <c r="O41" s="404"/>
      <c r="P41" s="405"/>
      <c r="Q41" s="406"/>
      <c r="R41" s="406"/>
      <c r="S41" s="407"/>
      <c r="T41" s="404"/>
      <c r="U41" s="405"/>
      <c r="V41" s="406"/>
      <c r="W41" s="406"/>
      <c r="X41" s="407"/>
      <c r="Y41" s="404"/>
      <c r="Z41" s="405"/>
      <c r="AA41" s="406"/>
      <c r="AB41" s="406"/>
      <c r="AC41" s="407"/>
      <c r="AD41" s="404"/>
      <c r="AE41" s="405"/>
      <c r="AF41" s="406"/>
      <c r="AG41" s="406"/>
      <c r="AH41" s="407"/>
      <c r="AI41" s="404"/>
      <c r="AJ41" s="405"/>
      <c r="AK41" s="406"/>
      <c r="AL41" s="406"/>
      <c r="AM41" s="407"/>
      <c r="AN41" s="404"/>
      <c r="AO41" s="405"/>
      <c r="AP41" s="406"/>
      <c r="AQ41" s="406"/>
      <c r="AR41" s="407"/>
      <c r="AS41" s="404"/>
      <c r="AT41" s="405"/>
      <c r="AU41" s="406"/>
      <c r="AV41" s="406"/>
      <c r="AW41" s="407"/>
      <c r="AX41" s="404"/>
      <c r="AY41" s="405"/>
      <c r="AZ41" s="406"/>
      <c r="BA41" s="406"/>
      <c r="BB41" s="407"/>
      <c r="BC41" s="404"/>
      <c r="BD41" s="405"/>
      <c r="BE41" s="406"/>
      <c r="BF41" s="406"/>
      <c r="BG41" s="407"/>
      <c r="BH41" s="404"/>
      <c r="BI41" s="405"/>
      <c r="BJ41" s="406"/>
      <c r="BK41" s="406"/>
      <c r="BL41" s="407"/>
      <c r="BM41" s="404"/>
      <c r="BN41" s="405"/>
      <c r="BO41" s="406"/>
      <c r="BP41" s="406"/>
      <c r="BQ41" s="407"/>
      <c r="BR41" s="404"/>
      <c r="BS41" s="405"/>
      <c r="BT41" s="406"/>
      <c r="BU41" s="406"/>
      <c r="BV41" s="407"/>
      <c r="BW41" s="404"/>
      <c r="BX41" s="405"/>
      <c r="BY41" s="406"/>
      <c r="BZ41" s="406"/>
      <c r="CA41" s="407"/>
      <c r="CB41" s="404"/>
      <c r="CC41" s="405"/>
      <c r="CD41" s="406"/>
      <c r="CE41" s="406"/>
      <c r="CF41" s="407"/>
      <c r="CG41" s="404"/>
      <c r="CH41" s="405"/>
      <c r="CI41" s="406" t="s">
        <v>230</v>
      </c>
      <c r="CJ41" s="406"/>
      <c r="CK41" s="407"/>
      <c r="CL41" s="404"/>
      <c r="CM41" s="405"/>
      <c r="CN41" s="406"/>
      <c r="CO41" s="406"/>
      <c r="CP41" s="407"/>
      <c r="CQ41" s="404"/>
      <c r="CR41" s="405"/>
      <c r="CS41" s="406"/>
      <c r="CT41" s="406"/>
      <c r="CU41" s="407"/>
      <c r="CV41" s="404"/>
      <c r="CW41" s="405"/>
      <c r="CX41" s="406"/>
      <c r="CY41" s="406"/>
      <c r="CZ41" s="407"/>
      <c r="DA41" s="404"/>
      <c r="DB41" s="405"/>
      <c r="DC41" s="406"/>
      <c r="DD41" s="406"/>
      <c r="DE41" s="407"/>
      <c r="DF41" s="404"/>
      <c r="DG41" s="405"/>
      <c r="DH41" s="406"/>
      <c r="DI41" s="406"/>
      <c r="DJ41" s="407"/>
    </row>
    <row r="42" spans="1:114" ht="14" hidden="1" thickBot="1" x14ac:dyDescent="0.2">
      <c r="A42" s="356" t="s">
        <v>128</v>
      </c>
      <c r="B42" s="357"/>
      <c r="C42" s="358"/>
      <c r="D42" s="359"/>
      <c r="E42" s="360"/>
      <c r="F42" s="361"/>
      <c r="G42" s="361"/>
      <c r="H42" s="361"/>
      <c r="I42" s="362"/>
      <c r="J42" s="363"/>
      <c r="K42" s="364"/>
      <c r="L42" s="365"/>
      <c r="M42" s="366"/>
      <c r="N42" s="174" t="str">
        <f t="shared" si="167"/>
        <v/>
      </c>
      <c r="O42" s="36"/>
      <c r="P42" s="52"/>
      <c r="Q42" s="37"/>
      <c r="R42" s="37"/>
      <c r="S42" s="38"/>
      <c r="T42" s="36"/>
      <c r="U42" s="52"/>
      <c r="V42" s="37"/>
      <c r="W42" s="37"/>
      <c r="X42" s="38"/>
      <c r="Y42" s="36"/>
      <c r="Z42" s="52"/>
      <c r="AA42" s="37"/>
      <c r="AB42" s="37"/>
      <c r="AC42" s="38"/>
      <c r="AD42" s="36"/>
      <c r="AE42" s="52"/>
      <c r="AF42" s="37"/>
      <c r="AG42" s="37"/>
      <c r="AH42" s="38"/>
      <c r="AI42" s="36"/>
      <c r="AJ42" s="52"/>
      <c r="AK42" s="37"/>
      <c r="AL42" s="37"/>
      <c r="AM42" s="38"/>
      <c r="AN42" s="36"/>
      <c r="AO42" s="52"/>
      <c r="AP42" s="37"/>
      <c r="AQ42" s="37"/>
      <c r="AR42" s="38"/>
      <c r="AS42" s="36"/>
      <c r="AT42" s="52"/>
      <c r="AU42" s="37"/>
      <c r="AV42" s="37"/>
      <c r="AW42" s="38"/>
      <c r="AX42" s="36"/>
      <c r="AY42" s="52"/>
      <c r="AZ42" s="37"/>
      <c r="BA42" s="37"/>
      <c r="BB42" s="38"/>
      <c r="BC42" s="36"/>
      <c r="BD42" s="52"/>
      <c r="BE42" s="37"/>
      <c r="BF42" s="37"/>
      <c r="BG42" s="38"/>
      <c r="BH42" s="36"/>
      <c r="BI42" s="52"/>
      <c r="BJ42" s="37"/>
      <c r="BK42" s="37"/>
      <c r="BL42" s="38"/>
      <c r="BM42" s="36"/>
      <c r="BN42" s="52"/>
      <c r="BO42" s="37"/>
      <c r="BP42" s="37"/>
      <c r="BQ42" s="38"/>
      <c r="BR42" s="36"/>
      <c r="BS42" s="52"/>
      <c r="BT42" s="37"/>
      <c r="BU42" s="37"/>
      <c r="BV42" s="38"/>
      <c r="BW42" s="36"/>
      <c r="BX42" s="52"/>
      <c r="BY42" s="37"/>
      <c r="BZ42" s="37"/>
      <c r="CA42" s="38"/>
      <c r="CB42" s="36"/>
      <c r="CC42" s="52"/>
      <c r="CD42" s="37"/>
      <c r="CE42" s="37"/>
      <c r="CF42" s="38"/>
      <c r="CG42" s="36"/>
      <c r="CH42" s="52"/>
      <c r="CI42" s="37"/>
      <c r="CJ42" s="37"/>
      <c r="CK42" s="38"/>
      <c r="CL42" s="36"/>
      <c r="CM42" s="52"/>
      <c r="CN42" s="37"/>
      <c r="CO42" s="37"/>
      <c r="CP42" s="38"/>
      <c r="CQ42" s="36"/>
      <c r="CR42" s="52"/>
      <c r="CS42" s="37"/>
      <c r="CT42" s="37"/>
      <c r="CU42" s="38"/>
      <c r="CV42" s="36"/>
      <c r="CW42" s="52"/>
      <c r="CX42" s="37"/>
      <c r="CY42" s="37"/>
      <c r="CZ42" s="38"/>
      <c r="DA42" s="36"/>
      <c r="DB42" s="52"/>
      <c r="DC42" s="37"/>
      <c r="DD42" s="37"/>
      <c r="DE42" s="38"/>
      <c r="DF42" s="36"/>
      <c r="DG42" s="52"/>
      <c r="DH42" s="37"/>
      <c r="DI42" s="37"/>
      <c r="DJ42" s="38"/>
    </row>
    <row r="43" spans="1:114" x14ac:dyDescent="0.15">
      <c r="B43" s="148"/>
      <c r="C43" s="148" t="s">
        <v>129</v>
      </c>
      <c r="D43" s="226">
        <f>SUMIF(B13:B42,"",D13:D42)</f>
        <v>2.2569444444444442</v>
      </c>
      <c r="E43" s="222">
        <f>SUMPRODUCT($K13:$K42,E13:E42)</f>
        <v>0</v>
      </c>
      <c r="F43" s="223">
        <f>SUMPRODUCT($K13:$K42,F13:F42)</f>
        <v>1.9270833333333333</v>
      </c>
      <c r="G43" s="223">
        <f>SUMPRODUCT($K13:$K42,G13:G42)</f>
        <v>0.33333333333333331</v>
      </c>
      <c r="H43" s="223">
        <f>SUMPRODUCT($K13:$K42,H13:H42)</f>
        <v>0</v>
      </c>
      <c r="I43" s="224">
        <f>SUMPRODUCT($K13:$K42,I13:I42)</f>
        <v>0</v>
      </c>
      <c r="J43" s="225"/>
      <c r="K43" s="227">
        <f>SUMIF(B13:B42,"",K13:K42)</f>
        <v>2.2604166666666665</v>
      </c>
      <c r="L43" s="175" t="s">
        <v>130</v>
      </c>
      <c r="M43" s="176"/>
      <c r="N43" s="177">
        <f>SUM(N13:N42)</f>
        <v>59</v>
      </c>
    </row>
    <row r="44" spans="1:114" ht="14" hidden="1" thickBot="1" x14ac:dyDescent="0.2">
      <c r="D44" s="195" t="str">
        <f t="shared" ref="D44:I44" si="172">IF(OR($V5=60,$V5=45),"","jour")</f>
        <v>jour</v>
      </c>
      <c r="E44" s="198" t="str">
        <f t="shared" si="172"/>
        <v>jour</v>
      </c>
      <c r="F44" s="199" t="str">
        <f t="shared" si="172"/>
        <v>jour</v>
      </c>
      <c r="G44" s="199" t="str">
        <f t="shared" si="172"/>
        <v>jour</v>
      </c>
      <c r="H44" s="199" t="str">
        <f t="shared" si="172"/>
        <v>jour</v>
      </c>
      <c r="I44" s="200" t="str">
        <f t="shared" si="172"/>
        <v>jour</v>
      </c>
      <c r="J44" s="201"/>
      <c r="K44" s="197" t="str">
        <f>IF(OR($V5=60,$V5=45),"","jour")</f>
        <v>jour</v>
      </c>
      <c r="L44" s="178"/>
      <c r="M44" s="179"/>
      <c r="N44" s="180"/>
    </row>
    <row r="45" spans="1:114" ht="14" thickBot="1" x14ac:dyDescent="0.2">
      <c r="D45" s="242"/>
      <c r="L45" s="24" t="s">
        <v>131</v>
      </c>
    </row>
    <row r="46" spans="1:114" ht="14.5" customHeight="1" x14ac:dyDescent="0.15">
      <c r="C46" s="39">
        <f>$D46/$D43</f>
        <v>0.76000000000000012</v>
      </c>
      <c r="D46" s="219">
        <f>SUMIFS(D13:D42,M13:M42,"A FAIRE",B13:B42,"")</f>
        <v>1.7152777777777779</v>
      </c>
      <c r="E46" s="186"/>
      <c r="F46" s="437">
        <f>$K46/$K43</f>
        <v>0.7603686635944702</v>
      </c>
      <c r="G46" s="437"/>
      <c r="H46" s="437"/>
      <c r="I46" s="437"/>
      <c r="J46" s="438"/>
      <c r="K46" s="220">
        <f>SUMIF(M13:M42,"A FAIRE",K13:K42)</f>
        <v>1.7187500000000002</v>
      </c>
      <c r="L46" s="24" t="s">
        <v>132</v>
      </c>
    </row>
    <row r="47" spans="1:114" ht="14.5" customHeight="1" x14ac:dyDescent="0.15">
      <c r="C47" s="53">
        <f>D47/D43</f>
        <v>0.11076923076923079</v>
      </c>
      <c r="D47" s="202">
        <f>SUMIFS(D13:D42,M13:M42,"EN COURS",B13:B42,"")</f>
        <v>0.25</v>
      </c>
      <c r="E47" s="187"/>
      <c r="F47" s="439">
        <f>K47/K43</f>
        <v>0.11059907834101383</v>
      </c>
      <c r="G47" s="439"/>
      <c r="H47" s="439"/>
      <c r="I47" s="439"/>
      <c r="J47" s="440"/>
      <c r="K47" s="204">
        <f>SUMIF(M13:M42,"EN COURS",K13:K42)</f>
        <v>0.25</v>
      </c>
      <c r="L47" s="24" t="s">
        <v>133</v>
      </c>
    </row>
    <row r="48" spans="1:114" ht="15" customHeight="1" thickBot="1" x14ac:dyDescent="0.2">
      <c r="C48" s="54">
        <f>D48/D43</f>
        <v>0.12923076923076923</v>
      </c>
      <c r="D48" s="203">
        <f>SUMIFS(D13:D42,M13:M42,"TERMINE.E",B13:B42,"")</f>
        <v>0.29166666666666663</v>
      </c>
      <c r="E48" s="188"/>
      <c r="F48" s="441">
        <f>K48/K43</f>
        <v>0.12903225806451613</v>
      </c>
      <c r="G48" s="441"/>
      <c r="H48" s="441"/>
      <c r="I48" s="441"/>
      <c r="J48" s="442"/>
      <c r="K48" s="221">
        <f>SUMIF(M13:M42,"TERMINE.E",K13:K42)</f>
        <v>0.29166666666666663</v>
      </c>
    </row>
    <row r="49" spans="1:14" x14ac:dyDescent="0.15">
      <c r="K49" s="181"/>
    </row>
    <row r="50" spans="1:14" x14ac:dyDescent="0.15">
      <c r="B50" s="24" t="s">
        <v>134</v>
      </c>
      <c r="K50" s="126">
        <f>COUNTIF(M13:M42,"TERMINE.E")</f>
        <v>3</v>
      </c>
      <c r="M50" s="182">
        <f>COUNTA(M13:M42)</f>
        <v>22</v>
      </c>
      <c r="N50" s="183"/>
    </row>
    <row r="52" spans="1:14" x14ac:dyDescent="0.15">
      <c r="A52" s="25"/>
    </row>
  </sheetData>
  <sheetProtection formatColumns="0"/>
  <mergeCells count="206">
    <mergeCell ref="DD7:DE7"/>
    <mergeCell ref="DF7:DH7"/>
    <mergeCell ref="DI7:DJ7"/>
    <mergeCell ref="BA7:BB7"/>
    <mergeCell ref="BC7:BE7"/>
    <mergeCell ref="BF7:BG7"/>
    <mergeCell ref="BH7:BJ7"/>
    <mergeCell ref="BK7:BL7"/>
    <mergeCell ref="BM7:BO7"/>
    <mergeCell ref="BP7:BQ7"/>
    <mergeCell ref="BR7:BT7"/>
    <mergeCell ref="BU7:BV7"/>
    <mergeCell ref="CJ7:CK7"/>
    <mergeCell ref="CL7:CN7"/>
    <mergeCell ref="CO7:CP7"/>
    <mergeCell ref="CQ7:CS7"/>
    <mergeCell ref="CT7:CU7"/>
    <mergeCell ref="CV7:CX7"/>
    <mergeCell ref="CY7:CZ7"/>
    <mergeCell ref="DA7:DC7"/>
    <mergeCell ref="AB8:AC8"/>
    <mergeCell ref="AG8:AH8"/>
    <mergeCell ref="AL8:AM8"/>
    <mergeCell ref="AQ8:AR8"/>
    <mergeCell ref="AV8:AW8"/>
    <mergeCell ref="BA8:BB8"/>
    <mergeCell ref="BF8:BG8"/>
    <mergeCell ref="BK8:BL8"/>
    <mergeCell ref="BP8:BQ8"/>
    <mergeCell ref="BU8:BV8"/>
    <mergeCell ref="BZ8:CA8"/>
    <mergeCell ref="CE8:CF8"/>
    <mergeCell ref="CJ8:CK8"/>
    <mergeCell ref="CO8:CP8"/>
    <mergeCell ref="CT8:CU8"/>
    <mergeCell ref="CY8:CZ8"/>
    <mergeCell ref="DD8:DE8"/>
    <mergeCell ref="DI8:DJ8"/>
    <mergeCell ref="DG11:DG12"/>
    <mergeCell ref="DH11:DH12"/>
    <mergeCell ref="DI11:DI12"/>
    <mergeCell ref="DJ11:DJ12"/>
    <mergeCell ref="CH11:CH12"/>
    <mergeCell ref="CI11:CI12"/>
    <mergeCell ref="CJ11:CJ12"/>
    <mergeCell ref="CK11:CK12"/>
    <mergeCell ref="CL11:CL12"/>
    <mergeCell ref="CM11:CM12"/>
    <mergeCell ref="CN11:CN12"/>
    <mergeCell ref="CO11:CO12"/>
    <mergeCell ref="CP11:CP12"/>
    <mergeCell ref="CQ11:CQ12"/>
    <mergeCell ref="CR11:CR12"/>
    <mergeCell ref="CS11:CS12"/>
    <mergeCell ref="CT11:CT12"/>
    <mergeCell ref="CU11:CU12"/>
    <mergeCell ref="CV11:CV12"/>
    <mergeCell ref="CW11:CW12"/>
    <mergeCell ref="DC11:DC12"/>
    <mergeCell ref="DD11:DD12"/>
    <mergeCell ref="DE11:DE12"/>
    <mergeCell ref="DF11:DF12"/>
    <mergeCell ref="CX11:CX12"/>
    <mergeCell ref="CY11:CY12"/>
    <mergeCell ref="CZ11:CZ12"/>
    <mergeCell ref="DA11:DA12"/>
    <mergeCell ref="DB11:DB12"/>
    <mergeCell ref="BY11:BY12"/>
    <mergeCell ref="BZ11:BZ12"/>
    <mergeCell ref="CA11:CA12"/>
    <mergeCell ref="CB11:CB12"/>
    <mergeCell ref="CC11:CC12"/>
    <mergeCell ref="CD11:CD12"/>
    <mergeCell ref="CE11:CE12"/>
    <mergeCell ref="CF11:CF12"/>
    <mergeCell ref="CG11:CG12"/>
    <mergeCell ref="BP11:BP12"/>
    <mergeCell ref="BQ11:BQ12"/>
    <mergeCell ref="BR11:BR12"/>
    <mergeCell ref="BS11:BS12"/>
    <mergeCell ref="BT11:BT12"/>
    <mergeCell ref="BU11:BU12"/>
    <mergeCell ref="BV11:BV12"/>
    <mergeCell ref="BW11:BW12"/>
    <mergeCell ref="BX11:BX12"/>
    <mergeCell ref="BG11:BG12"/>
    <mergeCell ref="BH11:BH12"/>
    <mergeCell ref="BI11:BI12"/>
    <mergeCell ref="BJ11:BJ12"/>
    <mergeCell ref="BK11:BK12"/>
    <mergeCell ref="BL11:BL12"/>
    <mergeCell ref="BM11:BM12"/>
    <mergeCell ref="BN11:BN12"/>
    <mergeCell ref="BO11:BO12"/>
    <mergeCell ref="AX11:AX12"/>
    <mergeCell ref="AY11:AY12"/>
    <mergeCell ref="AZ11:AZ12"/>
    <mergeCell ref="BA11:BA12"/>
    <mergeCell ref="BB11:BB12"/>
    <mergeCell ref="BC11:BC12"/>
    <mergeCell ref="BD11:BD12"/>
    <mergeCell ref="BE11:BE12"/>
    <mergeCell ref="BF11:BF12"/>
    <mergeCell ref="V4:Z4"/>
    <mergeCell ref="V6:Z6"/>
    <mergeCell ref="T7:V7"/>
    <mergeCell ref="W7:X7"/>
    <mergeCell ref="W8:X8"/>
    <mergeCell ref="T11:T12"/>
    <mergeCell ref="U11:U12"/>
    <mergeCell ref="V11:V12"/>
    <mergeCell ref="W11:W12"/>
    <mergeCell ref="X11:X12"/>
    <mergeCell ref="Y11:Y12"/>
    <mergeCell ref="Z11:Z12"/>
    <mergeCell ref="AS10:AW10"/>
    <mergeCell ref="AX10:BB10"/>
    <mergeCell ref="BC10:BG10"/>
    <mergeCell ref="A11:A12"/>
    <mergeCell ref="E10:I10"/>
    <mergeCell ref="O11:O12"/>
    <mergeCell ref="P11:P12"/>
    <mergeCell ref="AF11:AF12"/>
    <mergeCell ref="AG11:AG12"/>
    <mergeCell ref="AH11:AH12"/>
    <mergeCell ref="AI11:AI12"/>
    <mergeCell ref="AJ11:AJ12"/>
    <mergeCell ref="AK11:AK12"/>
    <mergeCell ref="AL11:AL12"/>
    <mergeCell ref="AM11:AM12"/>
    <mergeCell ref="AN11:AN12"/>
    <mergeCell ref="AO11:AO12"/>
    <mergeCell ref="AP11:AP12"/>
    <mergeCell ref="AQ11:AQ12"/>
    <mergeCell ref="AS11:AS12"/>
    <mergeCell ref="AT11:AT12"/>
    <mergeCell ref="AU11:AU12"/>
    <mergeCell ref="AV11:AV12"/>
    <mergeCell ref="AW11:AW12"/>
    <mergeCell ref="DA9:DE9"/>
    <mergeCell ref="DF9:DJ9"/>
    <mergeCell ref="BH10:BL10"/>
    <mergeCell ref="BM10:BQ10"/>
    <mergeCell ref="BR10:BV10"/>
    <mergeCell ref="BW10:CA10"/>
    <mergeCell ref="CB10:CF10"/>
    <mergeCell ref="CG10:CK10"/>
    <mergeCell ref="CL10:CP10"/>
    <mergeCell ref="CQ10:CU10"/>
    <mergeCell ref="CV10:CZ10"/>
    <mergeCell ref="DA10:DE10"/>
    <mergeCell ref="DF10:DJ10"/>
    <mergeCell ref="CV9:CZ9"/>
    <mergeCell ref="CL9:CP9"/>
    <mergeCell ref="CQ9:CU9"/>
    <mergeCell ref="AS9:AW9"/>
    <mergeCell ref="AX9:BB9"/>
    <mergeCell ref="BC9:BG9"/>
    <mergeCell ref="BH9:BL9"/>
    <mergeCell ref="BM9:BQ9"/>
    <mergeCell ref="BR9:BV9"/>
    <mergeCell ref="BW9:CA9"/>
    <mergeCell ref="CB9:CF9"/>
    <mergeCell ref="CG9:CK9"/>
    <mergeCell ref="F46:J46"/>
    <mergeCell ref="F47:J47"/>
    <mergeCell ref="F48:J48"/>
    <mergeCell ref="AN9:AR9"/>
    <mergeCell ref="O9:S9"/>
    <mergeCell ref="T9:X9"/>
    <mergeCell ref="Y9:AC9"/>
    <mergeCell ref="AD9:AH9"/>
    <mergeCell ref="AI9:AM9"/>
    <mergeCell ref="O10:S10"/>
    <mergeCell ref="T10:X10"/>
    <mergeCell ref="Y10:AC10"/>
    <mergeCell ref="AD10:AH10"/>
    <mergeCell ref="AI10:AM10"/>
    <mergeCell ref="AN10:AR10"/>
    <mergeCell ref="Q11:Q12"/>
    <mergeCell ref="R11:R12"/>
    <mergeCell ref="S11:S12"/>
    <mergeCell ref="AA11:AA12"/>
    <mergeCell ref="AB11:AB12"/>
    <mergeCell ref="AC11:AC12"/>
    <mergeCell ref="AD11:AD12"/>
    <mergeCell ref="AE11:AE12"/>
    <mergeCell ref="AR11:AR12"/>
    <mergeCell ref="R7:S7"/>
    <mergeCell ref="O7:Q7"/>
    <mergeCell ref="Y7:AA7"/>
    <mergeCell ref="AB7:AC7"/>
    <mergeCell ref="AD7:AF7"/>
    <mergeCell ref="AG7:AH7"/>
    <mergeCell ref="AI7:AK7"/>
    <mergeCell ref="AL7:AM7"/>
    <mergeCell ref="AN7:AP7"/>
    <mergeCell ref="AQ7:AR7"/>
    <mergeCell ref="AS7:AU7"/>
    <mergeCell ref="AV7:AW7"/>
    <mergeCell ref="AX7:AZ7"/>
    <mergeCell ref="BW7:BY7"/>
    <mergeCell ref="BZ7:CA7"/>
    <mergeCell ref="CB7:CD7"/>
    <mergeCell ref="CE7:CF7"/>
    <mergeCell ref="CG7:CI7"/>
  </mergeCells>
  <phoneticPr fontId="3" type="noConversion"/>
  <conditionalFormatting sqref="A13:L42">
    <cfRule type="expression" dxfId="36" priority="6">
      <formula>SEARCH("ja",$A13)</formula>
    </cfRule>
  </conditionalFormatting>
  <conditionalFormatting sqref="A13:DJ13">
    <cfRule type="expression" dxfId="35" priority="3">
      <formula>NOT(ISBLANK($B13))</formula>
    </cfRule>
  </conditionalFormatting>
  <conditionalFormatting sqref="A14:DJ42">
    <cfRule type="expression" dxfId="34" priority="5">
      <formula>NOT(ISBLANK($B14))</formula>
    </cfRule>
  </conditionalFormatting>
  <conditionalFormatting sqref="J13:J42">
    <cfRule type="expression" dxfId="33" priority="8">
      <formula>$J13&lt;1</formula>
    </cfRule>
  </conditionalFormatting>
  <conditionalFormatting sqref="J21:K41 N21:N41">
    <cfRule type="expression" dxfId="32" priority="4">
      <formula>ISBLANK(J21)</formula>
    </cfRule>
  </conditionalFormatting>
  <conditionalFormatting sqref="M13:N42">
    <cfRule type="containsText" dxfId="31" priority="9" operator="containsText" text="A FAIRE">
      <formula>NOT(ISERROR(SEARCH("A FAIRE",M13)))</formula>
    </cfRule>
    <cfRule type="containsText" dxfId="30" priority="10" operator="containsText" text="EN COURS">
      <formula>NOT(ISERROR(SEARCH("EN COURS",M13)))</formula>
    </cfRule>
    <cfRule type="containsText" dxfId="29" priority="13" operator="containsText" text="TERMINE.E">
      <formula>NOT(ISERROR(SEARCH("TERMINE.E",M13)))</formula>
    </cfRule>
  </conditionalFormatting>
  <conditionalFormatting sqref="N13:N42">
    <cfRule type="expression" dxfId="28" priority="154">
      <formula>OR($N13&lt;($K13/$V$3),$N13&gt;(($K13/$V$3)+0.999))</formula>
    </cfRule>
  </conditionalFormatting>
  <conditionalFormatting sqref="O7:Q7 T7:V7 Y7:AA7 AD7:AF7 AI7:AK7 AN7:AP7 AS7:AU7 AX7:AZ7 BC7:BE7 BH7:BJ7 BM7:BO7 BR7:BT7 BW7:BY7 CB7:CD7 CG7:CI7 CL7:CN7 CQ7:CS7 CV7:CX7 DA7:DC7 DF7:DH7">
    <cfRule type="expression" dxfId="27" priority="1">
      <formula>$V$4="hebdomadaire"</formula>
    </cfRule>
  </conditionalFormatting>
  <conditionalFormatting sqref="O7:DJ42">
    <cfRule type="expression" dxfId="26" priority="156">
      <formula>AND(O$7=TODAY(),$V$4="journalier")</formula>
    </cfRule>
  </conditionalFormatting>
  <conditionalFormatting sqref="O11:DJ42">
    <cfRule type="expression" dxfId="25" priority="155">
      <formula>O$11=TODAY()</formula>
    </cfRule>
  </conditionalFormatting>
  <conditionalFormatting sqref="O13:DJ42">
    <cfRule type="expression" dxfId="24" priority="22">
      <formula>AND($V$6=$G$11,$G13=1,OR((O13="x"),(O13="o")))</formula>
    </cfRule>
    <cfRule type="expression" dxfId="23" priority="20">
      <formula>AND($V$6=$F$11,$F13=1,OR((O13="x"),(O13="o")))</formula>
    </cfRule>
    <cfRule type="expression" dxfId="22" priority="21">
      <formula>AND($V$6=$F$11,$F13&lt;1,$F13&gt;0,OR((O13="x"),(O13="o")))</formula>
    </cfRule>
    <cfRule type="expression" dxfId="21" priority="19">
      <formula>AND($V$6=$E$11,$E13&lt;1,$E13&gt;0,OR((O13="x"),(O13="o")))</formula>
    </cfRule>
    <cfRule type="expression" dxfId="20" priority="132">
      <formula>AND($V$6=$G$11,$G13&lt;1,$G13&gt;0,OR((O13="x"),(O13="o")))</formula>
    </cfRule>
    <cfRule type="expression" dxfId="19" priority="147">
      <formula>AND($V$6=$H$11,$H13=1,OR((O13="x"),(O13="o")))</formula>
    </cfRule>
    <cfRule type="expression" dxfId="18" priority="148">
      <formula>AND($V$6=$H$11,$H13&lt;1,$H13&gt;0,OR((O13="x"),(O13="o")))</formula>
    </cfRule>
    <cfRule type="expression" dxfId="17" priority="149">
      <formula>AND($V$6=$I$11,$I13=1,OR((O13="x"),(O13="o")))</formula>
    </cfRule>
    <cfRule type="expression" dxfId="16" priority="150">
      <formula>AND($V$6=$I$11,$I13&lt;1,$I13&gt;0,OR((O13="x"),(O13="o")))</formula>
    </cfRule>
    <cfRule type="expression" dxfId="15" priority="151">
      <formula>AND($V$6=$M$11,$M13="A FAIRE",OR((O13="x"),(O13="o")))</formula>
    </cfRule>
    <cfRule type="expression" dxfId="14" priority="152">
      <formula>AND($V$6=$M$11,$M13="EN COURS",OR(O13="x",O13="o"))</formula>
    </cfRule>
    <cfRule type="expression" dxfId="13" priority="153">
      <formula>AND($V$6=$M$11,$M13="TERMINE.E",OR(O13="x",O13="o"))</formula>
    </cfRule>
    <cfRule type="expression" dxfId="12" priority="18">
      <formula>AND($V$6=$E$11,$E13=1,OR((O13="x"),(O13="o")))</formula>
    </cfRule>
  </conditionalFormatting>
  <conditionalFormatting sqref="O9:HA9">
    <cfRule type="expression" dxfId="11" priority="15">
      <formula>$V$4="journalier"</formula>
    </cfRule>
  </conditionalFormatting>
  <conditionalFormatting sqref="P7:DJ42">
    <cfRule type="expression" dxfId="10" priority="157">
      <formula>AND(O$7=TODAY(),$V$4="journalier")</formula>
    </cfRule>
  </conditionalFormatting>
  <conditionalFormatting sqref="Q7:DJ42">
    <cfRule type="expression" dxfId="9" priority="158">
      <formula>AND(O$7=TODAY(),$V$4="journalier")</formula>
    </cfRule>
  </conditionalFormatting>
  <conditionalFormatting sqref="R7:DJ42">
    <cfRule type="expression" dxfId="8" priority="159">
      <formula>AND(O$7=TODAY(),$V$4="journalier")</formula>
    </cfRule>
  </conditionalFormatting>
  <conditionalFormatting sqref="S7:DJ42">
    <cfRule type="expression" dxfId="7" priority="160">
      <formula>AND(O$7=TODAY(),$V$4="journalier")</formula>
    </cfRule>
  </conditionalFormatting>
  <conditionalFormatting sqref="V4:V5">
    <cfRule type="expression" dxfId="6" priority="2">
      <formula>AND($V$4="journalier",$V$5=1)</formula>
    </cfRule>
  </conditionalFormatting>
  <dataValidations count="6">
    <dataValidation type="list" allowBlank="1" showInputMessage="1" showErrorMessage="1" sqref="V6" xr:uid="{F0946CD1-CFEF-4084-9254-A30F831FAE9B}">
      <formula1>Vues</formula1>
    </dataValidation>
    <dataValidation type="list" allowBlank="1" showInputMessage="1" showErrorMessage="1" sqref="V5" xr:uid="{CE03665E-9AB7-4197-9F35-D2E59E45FC3F}">
      <formula1>"45,60,1"</formula1>
    </dataValidation>
    <dataValidation allowBlank="1" showInputMessage="1" showErrorMessage="1" errorTitle="Durée" error="Votre durée n'est pas un multiple de15" promptTitle="Durée" sqref="K13:K42" xr:uid="{DC597DD3-9F9B-4AA0-98BB-A368B953B701}"/>
    <dataValidation type="list" allowBlank="1" showInputMessage="1" showErrorMessage="1" sqref="M13:M42" xr:uid="{E3319B28-D257-4940-B4B0-E1F2F7328A49}">
      <formula1>"A FAIRE,EN COURS,TERMINE.E"</formula1>
    </dataValidation>
    <dataValidation type="time" operator="greaterThanOrEqual" allowBlank="1" showInputMessage="1" showErrorMessage="1" sqref="D13:D42" xr:uid="{C27805AB-B5B4-4300-B198-82F597C592A8}">
      <formula1>0</formula1>
    </dataValidation>
    <dataValidation type="list" allowBlank="1" showInputMessage="1" showErrorMessage="1" sqref="V4" xr:uid="{4DA38222-C7CD-4A8A-860F-6ED3615A06C8}">
      <formula1>"journalier, hebdomadaire"</formula1>
    </dataValidation>
  </dataValidations>
  <pageMargins left="0.61" right="0.43" top="0.74803149606299213" bottom="0.74803149606299213" header="0.31496062992125984" footer="0.31496062992125984"/>
  <pageSetup paperSize="9" scale="65" fitToWidth="0" orientation="landscape" horizontalDpi="1200" verticalDpi="1200" r:id="rId1"/>
  <headerFooter>
    <oddHeader>&amp;L&amp;G&amp;RGestion de projet</oddHeader>
    <oddFooter>&amp;L&amp;F&amp;C&amp;P / &amp;N&amp;RJGD/</oddFooter>
  </headerFooter>
  <drawing r:id="rId2"/>
  <legacy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9CDD-2988-4FBA-B586-EDD1333D55FC}">
  <sheetPr codeName="Feuil1">
    <tabColor theme="7" tint="0.39997558519241921"/>
    <pageSetUpPr fitToPage="1"/>
  </sheetPr>
  <dimension ref="A1:W28"/>
  <sheetViews>
    <sheetView showGridLines="0" tabSelected="1" workbookViewId="0">
      <selection activeCell="Q15" sqref="Q15"/>
    </sheetView>
  </sheetViews>
  <sheetFormatPr baseColWidth="10" defaultColWidth="11.5" defaultRowHeight="15" x14ac:dyDescent="0.2"/>
  <cols>
    <col min="1" max="1" width="3.5" bestFit="1" customWidth="1"/>
    <col min="2" max="2" width="12.5" style="2" bestFit="1" customWidth="1"/>
    <col min="3" max="3" width="6.83203125" style="3" bestFit="1" customWidth="1"/>
    <col min="4" max="4" width="5.5" style="3" bestFit="1" customWidth="1"/>
    <col min="5" max="5" width="6" style="3" bestFit="1" customWidth="1"/>
    <col min="6" max="10" width="3.5" style="45" customWidth="1"/>
    <col min="11" max="11" width="9.33203125" style="110" customWidth="1"/>
    <col min="12" max="12" width="15.6640625" bestFit="1" customWidth="1"/>
    <col min="13" max="13" width="5.5" customWidth="1"/>
    <col min="14" max="14" width="17.5" customWidth="1"/>
    <col min="15" max="15" width="5.83203125" style="45" customWidth="1"/>
    <col min="16" max="16" width="33.5" customWidth="1"/>
    <col min="17" max="17" width="107.83203125" customWidth="1"/>
    <col min="18" max="18" width="10.5" customWidth="1"/>
    <col min="20" max="20" width="47.6640625" customWidth="1"/>
    <col min="21" max="21" width="14" customWidth="1"/>
    <col min="22" max="22" width="6.5" style="3" bestFit="1" customWidth="1"/>
    <col min="23" max="23" width="7.1640625" style="45" bestFit="1" customWidth="1"/>
  </cols>
  <sheetData>
    <row r="1" spans="1:23" s="95" customFormat="1" ht="28" x14ac:dyDescent="0.3">
      <c r="A1" s="90" t="s">
        <v>135</v>
      </c>
      <c r="B1" s="91"/>
      <c r="C1" s="92"/>
      <c r="D1" s="92"/>
      <c r="E1" s="92"/>
      <c r="F1" s="93"/>
      <c r="G1" s="93"/>
      <c r="H1" s="94" t="s">
        <v>136</v>
      </c>
      <c r="I1" s="93"/>
      <c r="J1" s="93"/>
      <c r="K1" s="214" t="str">
        <f>IF(ISBLANK('Organigramme des tâches'!C2),"à remplir dans l'onglet Organigramme des tâches",'Organigramme des tâches'!C2)</f>
        <v>Site emprunt multimédia</v>
      </c>
      <c r="M1" s="96"/>
      <c r="N1" s="96"/>
      <c r="O1" s="97"/>
      <c r="P1" s="100" t="s">
        <v>137</v>
      </c>
      <c r="Q1" s="215" t="str">
        <f>IF(ISBLANK('Organigramme des tâches'!C3),"à remplir dans l'onglet Organigramme des tâches",'Organigramme des tâches'!C3)</f>
        <v>Cléo Forclaz</v>
      </c>
      <c r="T1" s="98" t="s">
        <v>138</v>
      </c>
      <c r="U1" s="98"/>
      <c r="V1" s="99"/>
      <c r="W1" s="93"/>
    </row>
    <row r="2" spans="1:23" ht="16" thickBot="1" x14ac:dyDescent="0.25">
      <c r="D2" s="61"/>
      <c r="E2" s="62"/>
      <c r="F2" s="63"/>
      <c r="G2" s="48"/>
      <c r="H2" s="48"/>
      <c r="I2" s="48"/>
      <c r="J2" s="48"/>
      <c r="K2" s="280" t="s">
        <v>139</v>
      </c>
      <c r="L2" s="64">
        <f>SUM(K4:K26)</f>
        <v>0.50347222222222232</v>
      </c>
      <c r="O2" s="19" t="s">
        <v>140</v>
      </c>
      <c r="T2" s="20"/>
      <c r="U2" s="20"/>
      <c r="V2" s="21"/>
    </row>
    <row r="3" spans="1:23" s="119" customFormat="1" ht="44.5" customHeight="1" thickBot="1" x14ac:dyDescent="0.25">
      <c r="A3" s="111"/>
      <c r="B3" s="112" t="s">
        <v>141</v>
      </c>
      <c r="C3" s="113" t="s">
        <v>142</v>
      </c>
      <c r="D3" s="114" t="s">
        <v>143</v>
      </c>
      <c r="E3" s="68" t="s">
        <v>144</v>
      </c>
      <c r="F3" s="65" t="str">
        <f>Ressources!B9</f>
        <v>Alain</v>
      </c>
      <c r="G3" s="47" t="str">
        <f>Ressources!B10</f>
        <v>Cléo</v>
      </c>
      <c r="H3" s="47" t="str">
        <f>Ressources!B11</f>
        <v>Mathieu</v>
      </c>
      <c r="I3" s="47">
        <f>Ressources!B12</f>
        <v>0</v>
      </c>
      <c r="J3" s="66">
        <f>Ressources!B13</f>
        <v>0</v>
      </c>
      <c r="K3" s="68" t="s">
        <v>145</v>
      </c>
      <c r="L3" s="115" t="s">
        <v>118</v>
      </c>
      <c r="M3" s="116" t="s">
        <v>146</v>
      </c>
      <c r="N3" s="114" t="s">
        <v>147</v>
      </c>
      <c r="O3" s="68" t="s">
        <v>148</v>
      </c>
      <c r="P3" s="117" t="s">
        <v>149</v>
      </c>
      <c r="Q3" s="118" t="s">
        <v>150</v>
      </c>
      <c r="R3" s="117" t="s">
        <v>151</v>
      </c>
      <c r="T3" s="120" t="s">
        <v>152</v>
      </c>
      <c r="U3" s="120" t="s">
        <v>153</v>
      </c>
      <c r="V3" s="121" t="s">
        <v>154</v>
      </c>
      <c r="W3" s="69" t="s">
        <v>155</v>
      </c>
    </row>
    <row r="4" spans="1:23" ht="14.5" hidden="1" customHeight="1" thickBot="1" x14ac:dyDescent="0.25">
      <c r="A4" s="106"/>
      <c r="B4" s="250" t="s">
        <v>156</v>
      </c>
      <c r="C4" s="251"/>
      <c r="D4" s="252"/>
      <c r="E4" s="67"/>
      <c r="F4" s="253"/>
      <c r="G4" s="254"/>
      <c r="H4" s="254"/>
      <c r="I4" s="254"/>
      <c r="J4" s="255"/>
      <c r="K4" s="108"/>
      <c r="L4" s="256"/>
      <c r="M4" s="5"/>
      <c r="N4" s="257"/>
      <c r="O4" s="258"/>
      <c r="P4" s="259"/>
      <c r="Q4" s="260"/>
      <c r="R4" s="259"/>
      <c r="T4" s="261"/>
      <c r="U4" s="261"/>
      <c r="V4" s="262"/>
      <c r="W4" s="263"/>
    </row>
    <row r="5" spans="1:23" ht="14.5" customHeight="1" x14ac:dyDescent="0.2">
      <c r="A5" s="106"/>
      <c r="B5" s="305">
        <v>46281</v>
      </c>
      <c r="C5" s="306">
        <v>0.42291666666666666</v>
      </c>
      <c r="D5" s="307">
        <v>0.45277777777777778</v>
      </c>
      <c r="E5" s="67">
        <f t="shared" ref="E5:E25" si="0">IF(ISBLANK(D5),"",D5-C5)</f>
        <v>2.9861111111111116E-2</v>
      </c>
      <c r="F5" s="311" t="s">
        <v>230</v>
      </c>
      <c r="G5" s="312" t="s">
        <v>230</v>
      </c>
      <c r="H5" s="312" t="s">
        <v>230</v>
      </c>
      <c r="I5" s="312"/>
      <c r="J5" s="313"/>
      <c r="K5" s="108">
        <f t="shared" ref="K5:K25" si="1">IF(AND(ISBLANK(F5),ISBLANK(G5),ISBLANK(H5),ISBLANK(I5),ISBLANK(J5)),"",COUNTIF(F5:J5,"x")*E5)</f>
        <v>8.9583333333333348E-2</v>
      </c>
      <c r="L5" s="317" t="s">
        <v>227</v>
      </c>
      <c r="M5" s="5" t="str">
        <f>IF(ISBLANK(L5),"",HLOOKUP(L5,Suivi!A$5:T$6,2,FALSE))</f>
        <v>TP_1</v>
      </c>
      <c r="N5" s="319" t="s">
        <v>228</v>
      </c>
      <c r="O5" s="320"/>
      <c r="P5" s="321" t="s">
        <v>267</v>
      </c>
      <c r="Q5" s="322" t="s">
        <v>258</v>
      </c>
      <c r="R5" s="321" t="s">
        <v>259</v>
      </c>
      <c r="S5" s="104"/>
      <c r="T5" s="305" t="s">
        <v>260</v>
      </c>
      <c r="U5" s="305" t="s">
        <v>261</v>
      </c>
      <c r="V5" s="327"/>
      <c r="W5" s="328" t="s">
        <v>262</v>
      </c>
    </row>
    <row r="6" spans="1:23" x14ac:dyDescent="0.2">
      <c r="A6" s="107"/>
      <c r="B6" s="308">
        <v>46281</v>
      </c>
      <c r="C6" s="309">
        <v>0.45347222222222222</v>
      </c>
      <c r="D6" s="310">
        <v>0.52083333333333337</v>
      </c>
      <c r="E6" s="46">
        <f t="shared" si="0"/>
        <v>6.7361111111111149E-2</v>
      </c>
      <c r="F6" s="314"/>
      <c r="G6" s="315" t="s">
        <v>230</v>
      </c>
      <c r="H6" s="315"/>
      <c r="I6" s="315"/>
      <c r="J6" s="316"/>
      <c r="K6" s="108">
        <f t="shared" si="1"/>
        <v>6.7361111111111149E-2</v>
      </c>
      <c r="L6" s="318" t="s">
        <v>227</v>
      </c>
      <c r="M6" s="5" t="str">
        <f>IF(ISBLANK(L6),"",HLOOKUP(L6,Suivi!A$5:T$6,2,FALSE))</f>
        <v>TP_1</v>
      </c>
      <c r="N6" s="323" t="s">
        <v>268</v>
      </c>
      <c r="O6" s="324"/>
      <c r="P6" s="325" t="s">
        <v>270</v>
      </c>
      <c r="Q6" s="326"/>
      <c r="R6" s="325"/>
      <c r="S6" s="104"/>
      <c r="T6" s="308" t="s">
        <v>263</v>
      </c>
      <c r="U6" s="308" t="s">
        <v>264</v>
      </c>
      <c r="V6" s="329"/>
      <c r="W6" s="330" t="s">
        <v>262</v>
      </c>
    </row>
    <row r="7" spans="1:23" x14ac:dyDescent="0.2">
      <c r="A7" s="107"/>
      <c r="B7" s="308">
        <v>46288</v>
      </c>
      <c r="C7" s="309">
        <v>0.34722222222222221</v>
      </c>
      <c r="D7" s="310">
        <v>0.52083333333333337</v>
      </c>
      <c r="E7" s="46">
        <f t="shared" si="0"/>
        <v>0.17361111111111116</v>
      </c>
      <c r="F7" s="314"/>
      <c r="G7" s="315" t="s">
        <v>230</v>
      </c>
      <c r="H7" s="315"/>
      <c r="I7" s="315"/>
      <c r="J7" s="316"/>
      <c r="K7" s="108">
        <f t="shared" si="1"/>
        <v>0.17361111111111116</v>
      </c>
      <c r="L7" s="318" t="s">
        <v>227</v>
      </c>
      <c r="M7" s="5" t="str">
        <f>IF(ISBLANK(L7),"",HLOOKUP(L7,Suivi!A$5:T$6,2,FALSE))</f>
        <v>TP_1</v>
      </c>
      <c r="N7" s="323" t="s">
        <v>268</v>
      </c>
      <c r="O7" s="324"/>
      <c r="P7" s="325" t="s">
        <v>269</v>
      </c>
      <c r="Q7" s="326"/>
      <c r="R7" s="325"/>
      <c r="S7" s="104"/>
      <c r="T7" s="308" t="s">
        <v>265</v>
      </c>
      <c r="U7" s="308" t="s">
        <v>213</v>
      </c>
      <c r="V7" s="329"/>
      <c r="W7" s="330" t="s">
        <v>262</v>
      </c>
    </row>
    <row r="8" spans="1:23" x14ac:dyDescent="0.2">
      <c r="A8" s="107"/>
      <c r="B8" s="308">
        <v>46295</v>
      </c>
      <c r="C8" s="309">
        <v>0.34722222222222221</v>
      </c>
      <c r="D8" s="310">
        <v>0.4236111111111111</v>
      </c>
      <c r="E8" s="46">
        <f t="shared" si="0"/>
        <v>7.6388888888888895E-2</v>
      </c>
      <c r="F8" s="314"/>
      <c r="G8" s="315" t="s">
        <v>230</v>
      </c>
      <c r="H8" s="315"/>
      <c r="I8" s="315"/>
      <c r="J8" s="316"/>
      <c r="K8" s="109">
        <f t="shared" si="1"/>
        <v>7.6388888888888895E-2</v>
      </c>
      <c r="L8" s="318" t="s">
        <v>227</v>
      </c>
      <c r="M8" s="5" t="str">
        <f>IF(ISBLANK(L8),"",HLOOKUP(L8,Suivi!A$5:T$6,2,FALSE))</f>
        <v>TP_1</v>
      </c>
      <c r="N8" s="323" t="s">
        <v>271</v>
      </c>
      <c r="O8" s="324"/>
      <c r="P8" s="325" t="s">
        <v>272</v>
      </c>
      <c r="Q8" s="326"/>
      <c r="R8" s="325"/>
      <c r="S8" s="104"/>
      <c r="T8" s="308"/>
      <c r="U8" s="308"/>
      <c r="V8" s="329"/>
      <c r="W8" s="330"/>
    </row>
    <row r="9" spans="1:23" x14ac:dyDescent="0.2">
      <c r="A9" s="107"/>
      <c r="B9" s="308">
        <v>46295</v>
      </c>
      <c r="C9" s="309">
        <v>0.43055555555555558</v>
      </c>
      <c r="D9" s="310">
        <v>0.4375</v>
      </c>
      <c r="E9" s="46">
        <f t="shared" ref="E9:E10" si="2">IF(ISBLANK(D9),"",D9-C9)</f>
        <v>6.9444444444444198E-3</v>
      </c>
      <c r="F9" s="314"/>
      <c r="G9" s="315" t="s">
        <v>230</v>
      </c>
      <c r="H9" s="315"/>
      <c r="I9" s="315"/>
      <c r="J9" s="316"/>
      <c r="K9" s="109">
        <f t="shared" ref="K9:K10" si="3">IF(AND(ISBLANK(F9),ISBLANK(G9),ISBLANK(H9),ISBLANK(I9),ISBLANK(J9)),"",COUNTIF(F9:J9,"x")*E9)</f>
        <v>6.9444444444444198E-3</v>
      </c>
      <c r="L9" s="318" t="s">
        <v>227</v>
      </c>
      <c r="M9" s="5" t="str">
        <f>IF(ISBLANK(L9),"",HLOOKUP(L9,Suivi!A$5:T$6,2,FALSE))</f>
        <v>TP_1</v>
      </c>
      <c r="N9" s="323" t="s">
        <v>228</v>
      </c>
      <c r="O9" s="324"/>
      <c r="P9" s="325"/>
      <c r="Q9" s="326"/>
      <c r="R9" s="325"/>
      <c r="S9" s="104"/>
      <c r="T9" s="308"/>
      <c r="U9" s="308"/>
      <c r="V9" s="329"/>
      <c r="W9" s="330"/>
    </row>
    <row r="10" spans="1:23" x14ac:dyDescent="0.2">
      <c r="A10" s="107"/>
      <c r="B10" s="308">
        <v>46295</v>
      </c>
      <c r="C10" s="309">
        <v>0.44097222222222221</v>
      </c>
      <c r="D10" s="310">
        <v>0.45416666666666666</v>
      </c>
      <c r="E10" s="46">
        <f t="shared" si="2"/>
        <v>1.3194444444444453E-2</v>
      </c>
      <c r="F10" s="314"/>
      <c r="G10" s="315" t="s">
        <v>230</v>
      </c>
      <c r="H10" s="315"/>
      <c r="I10" s="315"/>
      <c r="J10" s="316"/>
      <c r="K10" s="109">
        <f t="shared" si="3"/>
        <v>1.3194444444444453E-2</v>
      </c>
      <c r="L10" s="318" t="s">
        <v>227</v>
      </c>
      <c r="M10" s="5" t="str">
        <f>IF(ISBLANK(L10),"",HLOOKUP(L10,Suivi!A$5:T$6,2,FALSE))</f>
        <v>TP_1</v>
      </c>
      <c r="N10" s="323" t="s">
        <v>271</v>
      </c>
      <c r="O10" s="324"/>
      <c r="P10" s="325" t="s">
        <v>273</v>
      </c>
      <c r="Q10" s="326"/>
      <c r="R10" s="325"/>
      <c r="S10" s="104"/>
      <c r="T10" s="308"/>
      <c r="U10" s="308"/>
      <c r="V10" s="329"/>
      <c r="W10" s="330"/>
    </row>
    <row r="11" spans="1:23" x14ac:dyDescent="0.2">
      <c r="A11" s="470"/>
      <c r="B11" s="471" t="s">
        <v>274</v>
      </c>
      <c r="C11" s="472">
        <v>0.45833333333333331</v>
      </c>
      <c r="D11" s="473">
        <v>0.52083333333333337</v>
      </c>
      <c r="E11" s="474">
        <v>7.6388888888888895E-2</v>
      </c>
      <c r="F11" s="475"/>
      <c r="G11" s="476" t="s">
        <v>230</v>
      </c>
      <c r="H11" s="476"/>
      <c r="I11" s="476"/>
      <c r="J11" s="477"/>
      <c r="K11" s="478">
        <v>7.6388888888888895E-2</v>
      </c>
      <c r="L11" s="318" t="s">
        <v>241</v>
      </c>
      <c r="M11" s="5" t="str">
        <f>IF(ISBLANK(L11),"",HLOOKUP(L11,Suivi!A$5:T$6,2,FALSE))</f>
        <v>TP_3</v>
      </c>
      <c r="N11" s="323" t="s">
        <v>275</v>
      </c>
      <c r="O11" s="480"/>
      <c r="P11" s="481" t="s">
        <v>276</v>
      </c>
      <c r="Q11" s="482"/>
      <c r="R11" s="481"/>
      <c r="S11" s="483"/>
      <c r="T11" s="471"/>
      <c r="U11" s="471"/>
      <c r="V11" s="484"/>
      <c r="W11" s="479"/>
    </row>
    <row r="12" spans="1:23" x14ac:dyDescent="0.2">
      <c r="A12" s="107"/>
      <c r="B12" s="308"/>
      <c r="C12" s="309"/>
      <c r="D12" s="310"/>
      <c r="E12" s="46" t="str">
        <f t="shared" si="0"/>
        <v/>
      </c>
      <c r="F12" s="314"/>
      <c r="G12" s="315"/>
      <c r="H12" s="315"/>
      <c r="I12" s="315"/>
      <c r="J12" s="316"/>
      <c r="K12" s="109" t="str">
        <f t="shared" si="1"/>
        <v/>
      </c>
      <c r="L12" s="318"/>
      <c r="M12" s="5" t="str">
        <f>IF(ISBLANK(L12),"",HLOOKUP(L12,Suivi!A$5:T$6,2,FALSE))</f>
        <v/>
      </c>
      <c r="N12" s="323"/>
      <c r="O12" s="324"/>
      <c r="P12" s="325"/>
      <c r="Q12" s="326"/>
      <c r="R12" s="325"/>
      <c r="S12" s="104"/>
      <c r="T12" s="308"/>
      <c r="U12" s="308"/>
      <c r="V12" s="329"/>
      <c r="W12" s="330"/>
    </row>
    <row r="13" spans="1:23" x14ac:dyDescent="0.2">
      <c r="A13" s="107"/>
      <c r="B13" s="308"/>
      <c r="C13" s="309"/>
      <c r="D13" s="310"/>
      <c r="E13" s="46" t="str">
        <f t="shared" si="0"/>
        <v/>
      </c>
      <c r="F13" s="314"/>
      <c r="G13" s="315"/>
      <c r="H13" s="315"/>
      <c r="I13" s="315"/>
      <c r="J13" s="316"/>
      <c r="K13" s="109" t="str">
        <f t="shared" si="1"/>
        <v/>
      </c>
      <c r="L13" s="318"/>
      <c r="M13" s="5" t="str">
        <f>IF(ISBLANK(L13),"",HLOOKUP(L13,Suivi!A$5:T$6,2,FALSE))</f>
        <v/>
      </c>
      <c r="N13" s="323"/>
      <c r="O13" s="324"/>
      <c r="P13" s="325"/>
      <c r="Q13" s="326"/>
      <c r="R13" s="325"/>
      <c r="S13" s="104"/>
      <c r="T13" s="308"/>
      <c r="U13" s="308"/>
      <c r="V13" s="329"/>
      <c r="W13" s="330"/>
    </row>
    <row r="14" spans="1:23" x14ac:dyDescent="0.2">
      <c r="A14" s="107"/>
      <c r="B14" s="308"/>
      <c r="C14" s="309"/>
      <c r="D14" s="310"/>
      <c r="E14" s="46" t="str">
        <f t="shared" si="0"/>
        <v/>
      </c>
      <c r="F14" s="314"/>
      <c r="G14" s="315"/>
      <c r="H14" s="315"/>
      <c r="I14" s="315"/>
      <c r="J14" s="316"/>
      <c r="K14" s="109" t="str">
        <f t="shared" si="1"/>
        <v/>
      </c>
      <c r="L14" s="318"/>
      <c r="M14" s="5" t="str">
        <f>IF(ISBLANK(L14),"",HLOOKUP(L14,Suivi!A$5:T$6,2,FALSE))</f>
        <v/>
      </c>
      <c r="N14" s="323"/>
      <c r="O14" s="324"/>
      <c r="P14" s="325"/>
      <c r="Q14" s="326"/>
      <c r="R14" s="325"/>
      <c r="S14" s="104"/>
      <c r="T14" s="308"/>
      <c r="U14" s="308"/>
      <c r="V14" s="329"/>
      <c r="W14" s="330"/>
    </row>
    <row r="15" spans="1:23" x14ac:dyDescent="0.2">
      <c r="A15" s="107"/>
      <c r="B15" s="308"/>
      <c r="C15" s="309"/>
      <c r="D15" s="310"/>
      <c r="E15" s="46" t="str">
        <f t="shared" si="0"/>
        <v/>
      </c>
      <c r="F15" s="314"/>
      <c r="G15" s="315"/>
      <c r="H15" s="315"/>
      <c r="I15" s="315"/>
      <c r="J15" s="316"/>
      <c r="K15" s="109" t="str">
        <f t="shared" si="1"/>
        <v/>
      </c>
      <c r="L15" s="318"/>
      <c r="M15" s="5" t="str">
        <f>IF(ISBLANK(L15),"",HLOOKUP(L15,Suivi!A$5:T$6,2,FALSE))</f>
        <v/>
      </c>
      <c r="N15" s="323"/>
      <c r="O15" s="324"/>
      <c r="P15" s="325"/>
      <c r="Q15" s="326"/>
      <c r="R15" s="325"/>
      <c r="S15" s="104"/>
      <c r="T15" s="308"/>
      <c r="U15" s="308"/>
      <c r="V15" s="329"/>
      <c r="W15" s="330"/>
    </row>
    <row r="16" spans="1:23" x14ac:dyDescent="0.2">
      <c r="A16" s="107"/>
      <c r="B16" s="308"/>
      <c r="C16" s="309"/>
      <c r="D16" s="310"/>
      <c r="E16" s="46" t="str">
        <f t="shared" si="0"/>
        <v/>
      </c>
      <c r="F16" s="314"/>
      <c r="G16" s="315"/>
      <c r="H16" s="315"/>
      <c r="I16" s="315"/>
      <c r="J16" s="316"/>
      <c r="K16" s="109" t="str">
        <f t="shared" si="1"/>
        <v/>
      </c>
      <c r="L16" s="318"/>
      <c r="M16" s="5" t="str">
        <f>IF(ISBLANK(L16),"",HLOOKUP(L16,Suivi!A$5:T$6,2,FALSE))</f>
        <v/>
      </c>
      <c r="N16" s="323"/>
      <c r="O16" s="324"/>
      <c r="P16" s="325"/>
      <c r="Q16" s="326"/>
      <c r="R16" s="325"/>
      <c r="S16" s="104"/>
      <c r="T16" s="308"/>
      <c r="U16" s="308"/>
      <c r="V16" s="329"/>
      <c r="W16" s="330"/>
    </row>
    <row r="17" spans="1:23" x14ac:dyDescent="0.2">
      <c r="A17" s="107"/>
      <c r="B17" s="308"/>
      <c r="C17" s="309"/>
      <c r="D17" s="310"/>
      <c r="E17" s="46" t="str">
        <f t="shared" si="0"/>
        <v/>
      </c>
      <c r="F17" s="314"/>
      <c r="G17" s="315"/>
      <c r="H17" s="315"/>
      <c r="I17" s="315"/>
      <c r="J17" s="316"/>
      <c r="K17" s="109" t="str">
        <f t="shared" si="1"/>
        <v/>
      </c>
      <c r="L17" s="318"/>
      <c r="M17" s="5" t="str">
        <f>IF(ISBLANK(L17),"",HLOOKUP(L17,Suivi!A$5:T$6,2,FALSE))</f>
        <v/>
      </c>
      <c r="N17" s="323"/>
      <c r="O17" s="324"/>
      <c r="P17" s="325"/>
      <c r="Q17" s="326"/>
      <c r="R17" s="325"/>
      <c r="S17" s="104"/>
      <c r="T17" s="308"/>
      <c r="U17" s="308"/>
      <c r="V17" s="329"/>
      <c r="W17" s="330"/>
    </row>
    <row r="18" spans="1:23" x14ac:dyDescent="0.2">
      <c r="A18" s="107"/>
      <c r="B18" s="308"/>
      <c r="C18" s="309"/>
      <c r="D18" s="310"/>
      <c r="E18" s="46" t="str">
        <f t="shared" si="0"/>
        <v/>
      </c>
      <c r="F18" s="314"/>
      <c r="G18" s="315"/>
      <c r="H18" s="315"/>
      <c r="I18" s="315"/>
      <c r="J18" s="316"/>
      <c r="K18" s="109" t="str">
        <f t="shared" si="1"/>
        <v/>
      </c>
      <c r="L18" s="318"/>
      <c r="M18" s="5" t="str">
        <f>IF(ISBLANK(L18),"",HLOOKUP(L18,Suivi!A$5:T$6,2,FALSE))</f>
        <v/>
      </c>
      <c r="N18" s="323"/>
      <c r="O18" s="324"/>
      <c r="P18" s="325"/>
      <c r="Q18" s="326"/>
      <c r="R18" s="325"/>
      <c r="S18" s="104"/>
      <c r="T18" s="308"/>
      <c r="U18" s="308"/>
      <c r="V18" s="329"/>
      <c r="W18" s="330"/>
    </row>
    <row r="19" spans="1:23" x14ac:dyDescent="0.2">
      <c r="A19" s="107"/>
      <c r="B19" s="308"/>
      <c r="C19" s="309"/>
      <c r="D19" s="310"/>
      <c r="E19" s="46" t="str">
        <f t="shared" si="0"/>
        <v/>
      </c>
      <c r="F19" s="314"/>
      <c r="G19" s="315"/>
      <c r="H19" s="315"/>
      <c r="I19" s="315"/>
      <c r="J19" s="316"/>
      <c r="K19" s="109" t="str">
        <f t="shared" si="1"/>
        <v/>
      </c>
      <c r="L19" s="318"/>
      <c r="M19" s="5" t="str">
        <f>IF(ISBLANK(L19),"",HLOOKUP(L19,Suivi!A$5:T$6,2,FALSE))</f>
        <v/>
      </c>
      <c r="N19" s="323"/>
      <c r="O19" s="324"/>
      <c r="P19" s="325"/>
      <c r="Q19" s="326"/>
      <c r="R19" s="325"/>
      <c r="S19" s="104"/>
      <c r="T19" s="308"/>
      <c r="U19" s="308"/>
      <c r="V19" s="329"/>
      <c r="W19" s="330"/>
    </row>
    <row r="20" spans="1:23" x14ac:dyDescent="0.2">
      <c r="A20" s="107"/>
      <c r="B20" s="308"/>
      <c r="C20" s="309"/>
      <c r="D20" s="310"/>
      <c r="E20" s="46" t="str">
        <f t="shared" si="0"/>
        <v/>
      </c>
      <c r="F20" s="314"/>
      <c r="G20" s="315"/>
      <c r="H20" s="315"/>
      <c r="I20" s="315"/>
      <c r="J20" s="316"/>
      <c r="K20" s="109" t="str">
        <f t="shared" si="1"/>
        <v/>
      </c>
      <c r="L20" s="318"/>
      <c r="M20" s="5" t="str">
        <f>IF(ISBLANK(L20),"",HLOOKUP(L20,Suivi!A$5:T$6,2,FALSE))</f>
        <v/>
      </c>
      <c r="N20" s="323"/>
      <c r="O20" s="324"/>
      <c r="P20" s="325"/>
      <c r="Q20" s="326"/>
      <c r="R20" s="325"/>
      <c r="S20" s="104"/>
      <c r="T20" s="308"/>
      <c r="U20" s="308"/>
      <c r="V20" s="329"/>
      <c r="W20" s="330"/>
    </row>
    <row r="21" spans="1:23" x14ac:dyDescent="0.2">
      <c r="A21" s="107"/>
      <c r="B21" s="308"/>
      <c r="C21" s="309"/>
      <c r="D21" s="310"/>
      <c r="E21" s="46" t="str">
        <f t="shared" si="0"/>
        <v/>
      </c>
      <c r="F21" s="314"/>
      <c r="G21" s="315"/>
      <c r="H21" s="315"/>
      <c r="I21" s="315"/>
      <c r="J21" s="316"/>
      <c r="K21" s="109" t="str">
        <f t="shared" si="1"/>
        <v/>
      </c>
      <c r="L21" s="318"/>
      <c r="M21" s="5" t="str">
        <f>IF(ISBLANK(L21),"",HLOOKUP(L21,Suivi!A$5:T$6,2,FALSE))</f>
        <v/>
      </c>
      <c r="N21" s="323"/>
      <c r="O21" s="324"/>
      <c r="P21" s="325"/>
      <c r="Q21" s="326"/>
      <c r="R21" s="325"/>
      <c r="S21" s="104"/>
      <c r="T21" s="308"/>
      <c r="U21" s="308"/>
      <c r="V21" s="329"/>
      <c r="W21" s="330"/>
    </row>
    <row r="22" spans="1:23" x14ac:dyDescent="0.2">
      <c r="A22" s="107"/>
      <c r="B22" s="308"/>
      <c r="C22" s="309"/>
      <c r="D22" s="310"/>
      <c r="E22" s="46" t="str">
        <f t="shared" si="0"/>
        <v/>
      </c>
      <c r="F22" s="314"/>
      <c r="G22" s="315"/>
      <c r="H22" s="315"/>
      <c r="I22" s="315"/>
      <c r="J22" s="316"/>
      <c r="K22" s="109" t="str">
        <f t="shared" si="1"/>
        <v/>
      </c>
      <c r="L22" s="318"/>
      <c r="M22" s="5" t="str">
        <f>IF(ISBLANK(L22),"",HLOOKUP(L22,Suivi!A$5:T$6,2,FALSE))</f>
        <v/>
      </c>
      <c r="N22" s="323"/>
      <c r="O22" s="324"/>
      <c r="P22" s="325"/>
      <c r="Q22" s="326"/>
      <c r="R22" s="325"/>
      <c r="S22" s="104"/>
      <c r="T22" s="308"/>
      <c r="U22" s="308"/>
      <c r="V22" s="329"/>
      <c r="W22" s="330"/>
    </row>
    <row r="23" spans="1:23" x14ac:dyDescent="0.2">
      <c r="A23" s="107"/>
      <c r="B23" s="308"/>
      <c r="C23" s="309"/>
      <c r="D23" s="310"/>
      <c r="E23" s="46" t="str">
        <f t="shared" si="0"/>
        <v/>
      </c>
      <c r="F23" s="314"/>
      <c r="G23" s="315"/>
      <c r="H23" s="315"/>
      <c r="I23" s="315"/>
      <c r="J23" s="316"/>
      <c r="K23" s="109" t="str">
        <f t="shared" si="1"/>
        <v/>
      </c>
      <c r="L23" s="318"/>
      <c r="M23" s="5" t="str">
        <f>IF(ISBLANK(L23),"",HLOOKUP(L23,Suivi!A$5:T$6,2,FALSE))</f>
        <v/>
      </c>
      <c r="N23" s="323"/>
      <c r="O23" s="324"/>
      <c r="P23" s="325"/>
      <c r="Q23" s="326"/>
      <c r="R23" s="325"/>
      <c r="S23" s="104"/>
      <c r="T23" s="308"/>
      <c r="U23" s="308"/>
      <c r="V23" s="329"/>
      <c r="W23" s="330"/>
    </row>
    <row r="24" spans="1:23" x14ac:dyDescent="0.2">
      <c r="A24" s="107"/>
      <c r="B24" s="308"/>
      <c r="C24" s="309"/>
      <c r="D24" s="310"/>
      <c r="E24" s="46" t="str">
        <f t="shared" si="0"/>
        <v/>
      </c>
      <c r="F24" s="314"/>
      <c r="G24" s="315"/>
      <c r="H24" s="315"/>
      <c r="I24" s="315"/>
      <c r="J24" s="316"/>
      <c r="K24" s="109" t="str">
        <f t="shared" si="1"/>
        <v/>
      </c>
      <c r="L24" s="318"/>
      <c r="M24" s="5" t="str">
        <f>IF(ISBLANK(L24),"",HLOOKUP(L24,Suivi!A$5:T$6,2,FALSE))</f>
        <v/>
      </c>
      <c r="N24" s="323"/>
      <c r="O24" s="324"/>
      <c r="P24" s="325"/>
      <c r="Q24" s="326"/>
      <c r="R24" s="325"/>
      <c r="S24" s="104"/>
      <c r="T24" s="308"/>
      <c r="U24" s="308"/>
      <c r="V24" s="329"/>
      <c r="W24" s="330"/>
    </row>
    <row r="25" spans="1:23" ht="16" thickBot="1" x14ac:dyDescent="0.25">
      <c r="A25" s="107"/>
      <c r="B25" s="308"/>
      <c r="C25" s="309"/>
      <c r="D25" s="310"/>
      <c r="E25" s="46" t="str">
        <f t="shared" si="0"/>
        <v/>
      </c>
      <c r="F25" s="314"/>
      <c r="G25" s="315"/>
      <c r="H25" s="315"/>
      <c r="I25" s="315"/>
      <c r="J25" s="316"/>
      <c r="K25" s="109" t="str">
        <f t="shared" si="1"/>
        <v/>
      </c>
      <c r="L25" s="318"/>
      <c r="M25" s="5" t="str">
        <f>IF(ISBLANK(L25),"",HLOOKUP(L25,Suivi!A$5:T$6,2,FALSE))</f>
        <v/>
      </c>
      <c r="N25" s="323"/>
      <c r="O25" s="324"/>
      <c r="P25" s="325"/>
      <c r="Q25" s="326"/>
      <c r="R25" s="325"/>
      <c r="S25" s="104"/>
      <c r="T25" s="308"/>
      <c r="U25" s="308"/>
      <c r="V25" s="329"/>
      <c r="W25" s="330"/>
    </row>
    <row r="26" spans="1:23" ht="16" hidden="1" thickBot="1" x14ac:dyDescent="0.25">
      <c r="A26" s="264"/>
      <c r="B26" s="250" t="s">
        <v>157</v>
      </c>
      <c r="C26" s="265"/>
      <c r="D26" s="266"/>
      <c r="E26" s="267"/>
      <c r="F26" s="268"/>
      <c r="G26" s="269"/>
      <c r="H26" s="269"/>
      <c r="I26" s="269"/>
      <c r="J26" s="270"/>
      <c r="K26" s="271"/>
      <c r="L26" s="50"/>
      <c r="M26" s="272"/>
      <c r="N26" s="273"/>
      <c r="O26" s="274"/>
      <c r="P26" s="275"/>
      <c r="Q26" s="276"/>
      <c r="R26" s="275"/>
      <c r="T26" s="277"/>
      <c r="U26" s="277"/>
      <c r="V26" s="278"/>
      <c r="W26" s="279"/>
    </row>
    <row r="27" spans="1:23" ht="47" customHeight="1" thickBot="1" x14ac:dyDescent="0.25">
      <c r="E27" s="56" t="s">
        <v>158</v>
      </c>
      <c r="F27" s="58">
        <f>SUMIF(F4:F26,"x",$E4:$E26)</f>
        <v>2.9861111111111116E-2</v>
      </c>
      <c r="G27" s="59">
        <f>SUMIF(G4:G26,"x",$E4:$E26)</f>
        <v>0.44375000000000009</v>
      </c>
      <c r="H27" s="59">
        <f>SUMIF(H4:H26,"x",$E4:$E26)</f>
        <v>2.9861111111111116E-2</v>
      </c>
      <c r="I27" s="59">
        <f>SUMIF(I4:I26,"x",$E4:$E26)</f>
        <v>0</v>
      </c>
      <c r="J27" s="60">
        <f>SUMIF(J4:J26,"x",$E4:$E26)</f>
        <v>0</v>
      </c>
      <c r="K27" s="57">
        <f>SUM(K4:K26)</f>
        <v>0.50347222222222232</v>
      </c>
      <c r="L27" s="55" t="s">
        <v>159</v>
      </c>
      <c r="M27" s="55"/>
      <c r="N27" s="191">
        <f>SUMIF(O4:O26,"x",K4:K26)</f>
        <v>0</v>
      </c>
      <c r="O27" s="22">
        <f>IF(N27&gt;0,N27/K27,"0 "%)</f>
        <v>0</v>
      </c>
    </row>
    <row r="28" spans="1:23" x14ac:dyDescent="0.2">
      <c r="L28" s="55" t="s">
        <v>160</v>
      </c>
      <c r="M28" s="55"/>
      <c r="N28" s="191">
        <f>K27-N27</f>
        <v>0.50347222222222232</v>
      </c>
      <c r="O28" s="22">
        <f>IF(N28&gt;0,N28/K27,"0 %")</f>
        <v>1</v>
      </c>
    </row>
  </sheetData>
  <sheetProtection formatColumns="0"/>
  <phoneticPr fontId="3" type="noConversion"/>
  <dataValidations count="3">
    <dataValidation type="list" allowBlank="1" showInputMessage="1" showErrorMessage="1" sqref="W1:W3 W27:W1048576" xr:uid="{BAA2B023-E3AC-4D69-9614-B172B30F8CD1}">
      <formula1>"1,2,3"</formula1>
    </dataValidation>
    <dataValidation type="list" showInputMessage="1" showErrorMessage="1" errorTitle="Erreur_taches_principales" error="Il faut d'abord introduire les listes principales dans la ligne 5 de l'onglet Types de tâches" sqref="L4:L26" xr:uid="{8FE8C0CF-BBDC-42FE-9B63-A6B444EC20FC}">
      <formula1>Taches_principales</formula1>
    </dataValidation>
    <dataValidation type="list" allowBlank="1" showInputMessage="1" showErrorMessage="1" errorTitle="Erreur_lotsdetaches" error="Il faut d'abord introduire le lot de tâches dans l'onglet Types de tâches et dans la colonne correspondante à la tâche principale" sqref="N4:N26" xr:uid="{D1FD4379-F11C-4724-B5EB-A3B4D5A67F03}">
      <formula1>INDIRECT($M4)</formula1>
    </dataValidation>
  </dataValidations>
  <pageMargins left="0.39370078740157483" right="0.31496062992125984" top="0.94488188976377963" bottom="0.74803149606299213" header="0.31496062992125984" footer="0.31496062992125984"/>
  <pageSetup paperSize="9" scale="54" fitToHeight="0" orientation="landscape" horizontalDpi="1200" verticalDpi="1200" r:id="rId1"/>
  <headerFooter>
    <oddHeader>&amp;L&amp;G&amp;RGestion de projet</oddHeader>
    <oddFooter>&amp;L&amp;F&amp;C&amp;P / &amp;N&amp;RJGD/</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2EAC-05E8-4A7E-A611-98884780ED54}">
  <sheetPr codeName="Feuil2">
    <tabColor theme="7" tint="0.79998168889431442"/>
  </sheetPr>
  <dimension ref="A1:V41"/>
  <sheetViews>
    <sheetView showGridLines="0" zoomScale="90" zoomScaleNormal="90" workbookViewId="0">
      <selection activeCell="G19" sqref="G19"/>
    </sheetView>
  </sheetViews>
  <sheetFormatPr baseColWidth="10" defaultColWidth="11.5" defaultRowHeight="15" x14ac:dyDescent="0.2"/>
  <cols>
    <col min="1" max="1" width="18.6640625" customWidth="1"/>
    <col min="2" max="2" width="5.6640625" style="7" bestFit="1" customWidth="1"/>
    <col min="3" max="3" width="15.1640625" customWidth="1"/>
    <col min="4" max="4" width="5.6640625" style="7" bestFit="1" customWidth="1"/>
    <col min="5" max="5" width="54.5" customWidth="1"/>
    <col min="6" max="6" width="5.6640625" style="7" bestFit="1" customWidth="1"/>
    <col min="7" max="7" width="57.33203125" customWidth="1"/>
    <col min="8" max="8" width="5.6640625" style="7" customWidth="1"/>
    <col min="9" max="9" width="44.6640625" customWidth="1"/>
    <col min="10" max="10" width="5.33203125" customWidth="1"/>
    <col min="11" max="11" width="20" customWidth="1"/>
    <col min="12" max="12" width="5" customWidth="1"/>
    <col min="13" max="13" width="15.1640625" customWidth="1"/>
    <col min="14" max="14" width="5" customWidth="1"/>
    <col min="15" max="15" width="15.1640625" customWidth="1"/>
    <col min="16" max="16" width="5" customWidth="1"/>
    <col min="17" max="17" width="15.1640625" customWidth="1"/>
    <col min="18" max="18" width="5" customWidth="1"/>
    <col min="19" max="19" width="15.1640625" customWidth="1"/>
    <col min="20" max="20" width="5" customWidth="1"/>
  </cols>
  <sheetData>
    <row r="1" spans="1:20" s="95" customFormat="1" ht="25" x14ac:dyDescent="0.25">
      <c r="A1" s="96" t="s">
        <v>161</v>
      </c>
      <c r="B1" s="101"/>
      <c r="C1" s="89"/>
      <c r="D1" s="101"/>
      <c r="E1" s="89"/>
      <c r="F1" s="101"/>
      <c r="G1" s="89" t="s">
        <v>136</v>
      </c>
      <c r="H1" s="212" t="str">
        <f>IF(ISBLANK('Organigramme des tâches'!C2),"à remplir dans l'onglet Organigramme des tâches",'Organigramme des tâches'!C2)</f>
        <v>Site emprunt multimédia</v>
      </c>
      <c r="K1" s="102"/>
      <c r="O1" s="89" t="s">
        <v>137</v>
      </c>
      <c r="Q1" s="213" t="str">
        <f>IF(ISBLANK('Organigramme des tâches'!C3),"à remplir dans l'onglet Organigramme des tâches",'Organigramme des tâches'!C3)</f>
        <v>Cléo Forclaz</v>
      </c>
    </row>
    <row r="2" spans="1:20" x14ac:dyDescent="0.2">
      <c r="K2" s="23"/>
    </row>
    <row r="3" spans="1:20" x14ac:dyDescent="0.2">
      <c r="A3" t="s">
        <v>162</v>
      </c>
    </row>
    <row r="4" spans="1:20" ht="17" thickBot="1" x14ac:dyDescent="0.25">
      <c r="A4" s="6" t="s">
        <v>118</v>
      </c>
      <c r="B4" s="8"/>
      <c r="D4" s="8"/>
      <c r="F4" s="409"/>
      <c r="G4" s="410"/>
      <c r="H4" s="411" t="s">
        <v>139</v>
      </c>
      <c r="I4" s="412">
        <f>B22+D22+F22+H22+J22+L22+N22+P22+R22+T22</f>
        <v>0.50347222222222232</v>
      </c>
      <c r="J4" s="410" t="s">
        <v>163</v>
      </c>
      <c r="K4" t="str">
        <f>IF(I4='Journal de bord'!L2,"OK total Suivi = total JB",IF(I4&lt;'Journal de bord'!L2,"Attention total Suivi &lt; total JB","Attention total Suivi &gt; total JB"))</f>
        <v>OK total Suivi = total JB</v>
      </c>
      <c r="N4" s="192" t="str">
        <f>IF(I4='Journal de bord'!L2,"",IF(I4&lt;'Journal de bord'!L2,"il manque "&amp;TEXT('Journal de bord'!L2-I4,"h:mm")&amp;" h","il y a "&amp;TEXT(Suivi!I4-'Journal de bord'!L2,"h:mm")&amp;" h en trop"))</f>
        <v/>
      </c>
    </row>
    <row r="5" spans="1:20" ht="16" thickBot="1" x14ac:dyDescent="0.25">
      <c r="A5" s="468" t="s">
        <v>227</v>
      </c>
      <c r="B5" s="469"/>
      <c r="C5" s="468" t="s">
        <v>232</v>
      </c>
      <c r="D5" s="469"/>
      <c r="E5" s="468" t="s">
        <v>241</v>
      </c>
      <c r="F5" s="469"/>
      <c r="G5" s="468" t="s">
        <v>237</v>
      </c>
      <c r="H5" s="469"/>
      <c r="I5" s="468" t="s">
        <v>251</v>
      </c>
      <c r="J5" s="469"/>
      <c r="K5" s="468" t="s">
        <v>255</v>
      </c>
      <c r="L5" s="469"/>
      <c r="M5" s="468"/>
      <c r="N5" s="469"/>
      <c r="O5" s="468"/>
      <c r="P5" s="469"/>
      <c r="Q5" s="468"/>
      <c r="R5" s="469"/>
      <c r="S5" s="468"/>
      <c r="T5" s="469"/>
    </row>
    <row r="6" spans="1:20" s="19" customFormat="1" hidden="1" x14ac:dyDescent="0.2">
      <c r="A6" s="17" t="s">
        <v>164</v>
      </c>
      <c r="B6" s="18"/>
      <c r="C6" s="17" t="s">
        <v>165</v>
      </c>
      <c r="D6" s="18"/>
      <c r="E6" s="17" t="s">
        <v>166</v>
      </c>
      <c r="F6" s="18"/>
      <c r="G6" s="17" t="s">
        <v>167</v>
      </c>
      <c r="H6" s="18"/>
      <c r="I6" s="17" t="s">
        <v>168</v>
      </c>
      <c r="J6" s="18"/>
      <c r="K6" s="17" t="s">
        <v>169</v>
      </c>
      <c r="L6" s="18"/>
      <c r="M6" s="17" t="s">
        <v>170</v>
      </c>
      <c r="N6" s="18"/>
      <c r="O6" s="17" t="s">
        <v>171</v>
      </c>
      <c r="P6" s="18"/>
      <c r="Q6" s="17" t="s">
        <v>172</v>
      </c>
      <c r="R6" s="18"/>
      <c r="S6" s="17" t="s">
        <v>173</v>
      </c>
      <c r="T6" s="18"/>
    </row>
    <row r="7" spans="1:20" ht="16" thickBot="1" x14ac:dyDescent="0.25">
      <c r="A7" s="40" t="s">
        <v>147</v>
      </c>
      <c r="B7" s="41" t="s">
        <v>174</v>
      </c>
      <c r="C7" s="40" t="s">
        <v>147</v>
      </c>
      <c r="D7" s="42" t="s">
        <v>174</v>
      </c>
      <c r="E7" s="40" t="s">
        <v>147</v>
      </c>
      <c r="F7" s="42" t="s">
        <v>174</v>
      </c>
      <c r="G7" s="43" t="s">
        <v>147</v>
      </c>
      <c r="H7" s="44" t="s">
        <v>174</v>
      </c>
      <c r="I7" s="43" t="s">
        <v>147</v>
      </c>
      <c r="J7" s="44" t="s">
        <v>174</v>
      </c>
      <c r="K7" s="43" t="s">
        <v>147</v>
      </c>
      <c r="L7" s="44" t="s">
        <v>174</v>
      </c>
      <c r="M7" s="43" t="s">
        <v>147</v>
      </c>
      <c r="N7" s="44" t="s">
        <v>174</v>
      </c>
      <c r="O7" s="43" t="s">
        <v>147</v>
      </c>
      <c r="P7" s="44" t="s">
        <v>174</v>
      </c>
      <c r="Q7" s="43" t="s">
        <v>147</v>
      </c>
      <c r="R7" s="44" t="s">
        <v>174</v>
      </c>
      <c r="S7" s="43" t="s">
        <v>147</v>
      </c>
      <c r="T7" s="44" t="s">
        <v>174</v>
      </c>
    </row>
    <row r="8" spans="1:20" x14ac:dyDescent="0.2">
      <c r="A8" s="317" t="s">
        <v>228</v>
      </c>
      <c r="B8" s="11">
        <f>IF(ISBLANK(A8),"",SUMIF('Journal de bord'!N:N,A8,'Journal de bord'!K:K))</f>
        <v>9.6527777777777768E-2</v>
      </c>
      <c r="C8" s="331" t="s">
        <v>233</v>
      </c>
      <c r="D8" s="12">
        <f>IF(ISBLANK(C8),"",SUMIF('Journal de bord'!N:N,C8,'Journal de bord'!K:K))</f>
        <v>0</v>
      </c>
      <c r="E8" s="331" t="s">
        <v>242</v>
      </c>
      <c r="F8" s="12">
        <f>IF(ISBLANK(E8),"",SUMIF('Journal de bord'!N:N,E8,'Journal de bord'!K:K))</f>
        <v>0</v>
      </c>
      <c r="G8" s="331" t="s">
        <v>238</v>
      </c>
      <c r="H8" s="12">
        <f>IF(ISBLANK(G8),"",SUMIF('Journal de bord'!N:N,G8,'Journal de bord'!K:K))</f>
        <v>0</v>
      </c>
      <c r="I8" s="331" t="s">
        <v>252</v>
      </c>
      <c r="J8" s="12">
        <f>IF(ISBLANK(I8),"",SUMIF('Journal de bord'!N:N,I8,'Journal de bord'!K:K))</f>
        <v>0</v>
      </c>
      <c r="K8" s="331" t="s">
        <v>256</v>
      </c>
      <c r="L8" s="12">
        <f>IF(ISBLANK(K8),"",SUMIF('Journal de bord'!N:N,K8,'Journal de bord'!K:K))</f>
        <v>0</v>
      </c>
      <c r="M8" s="331"/>
      <c r="N8" s="12" t="str">
        <f>IF(ISBLANK(M8),"",SUMIF('Journal de bord'!N:N,M8,'Journal de bord'!K:K))</f>
        <v/>
      </c>
      <c r="O8" s="331"/>
      <c r="P8" s="12" t="str">
        <f>IF(ISBLANK(O8),"",SUMIF('Journal de bord'!N:N,O8,'Journal de bord'!K:K))</f>
        <v/>
      </c>
      <c r="Q8" s="331"/>
      <c r="R8" s="12" t="str">
        <f>IF(ISBLANK(Q8),"",SUMIF('Journal de bord'!N:N,Q8,'Journal de bord'!K:K))</f>
        <v/>
      </c>
      <c r="S8" s="331"/>
      <c r="T8" s="12" t="str">
        <f>IF(ISBLANK(S8),"",SUMIF('Journal de bord'!N:N,S8,'Journal de bord'!K:K))</f>
        <v/>
      </c>
    </row>
    <row r="9" spans="1:20" x14ac:dyDescent="0.2">
      <c r="A9" s="318" t="s">
        <v>268</v>
      </c>
      <c r="B9" s="11">
        <f>IF(ISBLANK(A9),"",SUMIF('Journal de bord'!N:N,A9,'Journal de bord'!K:K))</f>
        <v>0.24097222222222231</v>
      </c>
      <c r="C9" s="318" t="s">
        <v>235</v>
      </c>
      <c r="D9" s="9">
        <f>IF(ISBLANK(C9),"",SUMIF('Journal de bord'!N:N,C9,'Journal de bord'!K:K))</f>
        <v>0</v>
      </c>
      <c r="E9" s="318" t="s">
        <v>243</v>
      </c>
      <c r="F9" s="9">
        <f>IF(ISBLANK(E9),"",SUMIF('Journal de bord'!N:N,E9,'Journal de bord'!K:K))</f>
        <v>0</v>
      </c>
      <c r="G9" s="318" t="s">
        <v>239</v>
      </c>
      <c r="H9" s="9">
        <f>IF(ISBLANK(G9),"",SUMIF('Journal de bord'!N:N,G9,'Journal de bord'!K:K))</f>
        <v>0</v>
      </c>
      <c r="I9" s="318" t="s">
        <v>253</v>
      </c>
      <c r="J9" s="9">
        <f>IF(ISBLANK(I9),"",SUMIF('Journal de bord'!N:N,I9,'Journal de bord'!K:K))</f>
        <v>0</v>
      </c>
      <c r="K9" s="318" t="s">
        <v>257</v>
      </c>
      <c r="L9" s="9">
        <f>IF(ISBLANK(K9),"",SUMIF('Journal de bord'!N:N,K9,'Journal de bord'!K:K))</f>
        <v>0</v>
      </c>
      <c r="M9" s="318"/>
      <c r="N9" s="9" t="str">
        <f>IF(ISBLANK(M9),"",SUMIF('Journal de bord'!N:N,M9,'Journal de bord'!K:K))</f>
        <v/>
      </c>
      <c r="O9" s="318"/>
      <c r="P9" s="9" t="str">
        <f>IF(ISBLANK(O9),"",SUMIF('Journal de bord'!N:N,O9,'Journal de bord'!K:K))</f>
        <v/>
      </c>
      <c r="Q9" s="318"/>
      <c r="R9" s="9" t="str">
        <f>IF(ISBLANK(Q9),"",SUMIF('Journal de bord'!N:N,Q9,'Journal de bord'!K:K))</f>
        <v/>
      </c>
      <c r="S9" s="318"/>
      <c r="T9" s="9" t="str">
        <f>IF(ISBLANK(S9),"",SUMIF('Journal de bord'!N:N,S9,'Journal de bord'!K:K))</f>
        <v/>
      </c>
    </row>
    <row r="10" spans="1:20" x14ac:dyDescent="0.2">
      <c r="A10" s="318" t="s">
        <v>271</v>
      </c>
      <c r="B10" s="11">
        <f>IF(ISBLANK(A10),"",SUMIF('Journal de bord'!N:N,A10,'Journal de bord'!K:K))</f>
        <v>8.9583333333333348E-2</v>
      </c>
      <c r="C10" s="318" t="s">
        <v>236</v>
      </c>
      <c r="D10" s="9">
        <f>IF(ISBLANK(C10),"",SUMIF('Journal de bord'!N:N,C10,'Journal de bord'!K:K))</f>
        <v>0</v>
      </c>
      <c r="E10" s="318" t="s">
        <v>244</v>
      </c>
      <c r="F10" s="9">
        <f>IF(ISBLANK(E10),"",SUMIF('Journal de bord'!N:N,E10,'Journal de bord'!K:K))</f>
        <v>0</v>
      </c>
      <c r="G10" s="318" t="s">
        <v>240</v>
      </c>
      <c r="H10" s="9">
        <f>IF(ISBLANK(G10),"",SUMIF('Journal de bord'!N:N,G10,'Journal de bord'!K:K))</f>
        <v>0</v>
      </c>
      <c r="I10" s="318" t="s">
        <v>254</v>
      </c>
      <c r="J10" s="9">
        <f>IF(ISBLANK(I10),"",SUMIF('Journal de bord'!N:N,I10,'Journal de bord'!K:K))</f>
        <v>0</v>
      </c>
      <c r="K10" s="318"/>
      <c r="L10" s="9" t="str">
        <f>IF(ISBLANK(K10),"",SUMIF('Journal de bord'!N:N,K10,'Journal de bord'!K:K))</f>
        <v/>
      </c>
      <c r="M10" s="318"/>
      <c r="N10" s="9" t="str">
        <f>IF(ISBLANK(M10),"",SUMIF('Journal de bord'!N:N,M10,'Journal de bord'!K:K))</f>
        <v/>
      </c>
      <c r="O10" s="318"/>
      <c r="P10" s="9" t="str">
        <f>IF(ISBLANK(O10),"",SUMIF('Journal de bord'!N:N,O10,'Journal de bord'!K:K))</f>
        <v/>
      </c>
      <c r="Q10" s="318"/>
      <c r="R10" s="9" t="str">
        <f>IF(ISBLANK(Q10),"",SUMIF('Journal de bord'!N:N,Q10,'Journal de bord'!K:K))</f>
        <v/>
      </c>
      <c r="S10" s="318"/>
      <c r="T10" s="9" t="str">
        <f>IF(ISBLANK(S10),"",SUMIF('Journal de bord'!N:N,S10,'Journal de bord'!K:K))</f>
        <v/>
      </c>
    </row>
    <row r="11" spans="1:20" x14ac:dyDescent="0.2">
      <c r="A11" s="318"/>
      <c r="B11" s="11" t="str">
        <f>IF(ISBLANK(A11),"",SUMIF('Journal de bord'!N:N,A11,'Journal de bord'!K:K))</f>
        <v/>
      </c>
      <c r="C11" s="318"/>
      <c r="D11" s="9" t="str">
        <f>IF(ISBLANK(C11),"",SUMIF('Journal de bord'!N:N,C11,'Journal de bord'!K:K))</f>
        <v/>
      </c>
      <c r="E11" s="318" t="s">
        <v>245</v>
      </c>
      <c r="F11" s="9">
        <f>IF(ISBLANK(E11),"",SUMIF('Journal de bord'!N:N,E11,'Journal de bord'!K:K))</f>
        <v>0</v>
      </c>
      <c r="G11" s="318"/>
      <c r="H11" s="9" t="str">
        <f>IF(ISBLANK(G11),"",SUMIF('Journal de bord'!N:N,G11,'Journal de bord'!K:K))</f>
        <v/>
      </c>
      <c r="I11" s="318"/>
      <c r="J11" s="9" t="str">
        <f>IF(ISBLANK(I11),"",SUMIF('Journal de bord'!N:N,I11,'Journal de bord'!K:K))</f>
        <v/>
      </c>
      <c r="K11" s="318"/>
      <c r="L11" s="9" t="str">
        <f>IF(ISBLANK(K11),"",SUMIF('Journal de bord'!N:N,K11,'Journal de bord'!K:K))</f>
        <v/>
      </c>
      <c r="M11" s="318"/>
      <c r="N11" s="9" t="str">
        <f>IF(ISBLANK(M11),"",SUMIF('Journal de bord'!N:N,M11,'Journal de bord'!K:K))</f>
        <v/>
      </c>
      <c r="O11" s="318"/>
      <c r="P11" s="9" t="str">
        <f>IF(ISBLANK(O11),"",SUMIF('Journal de bord'!N:N,O11,'Journal de bord'!K:K))</f>
        <v/>
      </c>
      <c r="Q11" s="318"/>
      <c r="R11" s="9" t="str">
        <f>IF(ISBLANK(Q11),"",SUMIF('Journal de bord'!N:N,Q11,'Journal de bord'!K:K))</f>
        <v/>
      </c>
      <c r="S11" s="318"/>
      <c r="T11" s="9" t="str">
        <f>IF(ISBLANK(S11),"",SUMIF('Journal de bord'!N:N,S11,'Journal de bord'!K:K))</f>
        <v/>
      </c>
    </row>
    <row r="12" spans="1:20" x14ac:dyDescent="0.2">
      <c r="A12" s="318"/>
      <c r="B12" s="11" t="str">
        <f>IF(ISBLANK(A12),"",SUMIF('Journal de bord'!N:N,A12,'Journal de bord'!K:K))</f>
        <v/>
      </c>
      <c r="C12" s="318"/>
      <c r="D12" s="9" t="str">
        <f>IF(ISBLANK(C12),"",SUMIF('Journal de bord'!N:N,C12,'Journal de bord'!K:K))</f>
        <v/>
      </c>
      <c r="E12" s="318" t="s">
        <v>246</v>
      </c>
      <c r="F12" s="9">
        <f>IF(ISBLANK(E12),"",SUMIF('Journal de bord'!N:N,E12,'Journal de bord'!K:K))</f>
        <v>0</v>
      </c>
      <c r="G12" s="318"/>
      <c r="H12" s="9" t="str">
        <f>IF(ISBLANK(G12),"",SUMIF('Journal de bord'!N:N,G12,'Journal de bord'!K:K))</f>
        <v/>
      </c>
      <c r="I12" s="318"/>
      <c r="J12" s="9" t="str">
        <f>IF(ISBLANK(I12),"",SUMIF('Journal de bord'!N:N,I12,'Journal de bord'!K:K))</f>
        <v/>
      </c>
      <c r="K12" s="318"/>
      <c r="L12" s="9" t="str">
        <f>IF(ISBLANK(K12),"",SUMIF('Journal de bord'!N:N,K12,'Journal de bord'!K:K))</f>
        <v/>
      </c>
      <c r="M12" s="318"/>
      <c r="N12" s="9" t="str">
        <f>IF(ISBLANK(M12),"",SUMIF('Journal de bord'!N:N,M12,'Journal de bord'!K:K))</f>
        <v/>
      </c>
      <c r="O12" s="318"/>
      <c r="P12" s="9" t="str">
        <f>IF(ISBLANK(O12),"",SUMIF('Journal de bord'!N:N,O12,'Journal de bord'!K:K))</f>
        <v/>
      </c>
      <c r="Q12" s="318"/>
      <c r="R12" s="9" t="str">
        <f>IF(ISBLANK(Q12),"",SUMIF('Journal de bord'!N:N,Q12,'Journal de bord'!K:K))</f>
        <v/>
      </c>
      <c r="S12" s="318"/>
      <c r="T12" s="9" t="str">
        <f>IF(ISBLANK(S12),"",SUMIF('Journal de bord'!N:N,S12,'Journal de bord'!K:K))</f>
        <v/>
      </c>
    </row>
    <row r="13" spans="1:20" x14ac:dyDescent="0.2">
      <c r="A13" s="318"/>
      <c r="B13" s="11" t="str">
        <f>IF(ISBLANK(A13),"",SUMIF('Journal de bord'!N:N,A13,'Journal de bord'!K:K))</f>
        <v/>
      </c>
      <c r="C13" s="318"/>
      <c r="D13" s="9" t="str">
        <f>IF(ISBLANK(C13),"",SUMIF('Journal de bord'!N:N,C13,'Journal de bord'!K:K))</f>
        <v/>
      </c>
      <c r="E13" s="318" t="s">
        <v>247</v>
      </c>
      <c r="F13" s="9">
        <f>IF(ISBLANK(E13),"",SUMIF('Journal de bord'!N:N,E13,'Journal de bord'!K:K))</f>
        <v>0</v>
      </c>
      <c r="G13" s="318"/>
      <c r="H13" s="9" t="str">
        <f>IF(ISBLANK(G13),"",SUMIF('Journal de bord'!N:N,G13,'Journal de bord'!K:K))</f>
        <v/>
      </c>
      <c r="I13" s="318"/>
      <c r="J13" s="9" t="str">
        <f>IF(ISBLANK(I13),"",SUMIF('Journal de bord'!N:N,I13,'Journal de bord'!K:K))</f>
        <v/>
      </c>
      <c r="K13" s="318"/>
      <c r="L13" s="9" t="str">
        <f>IF(ISBLANK(K13),"",SUMIF('Journal de bord'!N:N,K13,'Journal de bord'!K:K))</f>
        <v/>
      </c>
      <c r="M13" s="318"/>
      <c r="N13" s="9" t="str">
        <f>IF(ISBLANK(M13),"",SUMIF('Journal de bord'!N:N,M13,'Journal de bord'!K:K))</f>
        <v/>
      </c>
      <c r="O13" s="318"/>
      <c r="P13" s="9" t="str">
        <f>IF(ISBLANK(O13),"",SUMIF('Journal de bord'!N:N,O13,'Journal de bord'!K:K))</f>
        <v/>
      </c>
      <c r="Q13" s="318"/>
      <c r="R13" s="9" t="str">
        <f>IF(ISBLANK(Q13),"",SUMIF('Journal de bord'!N:N,Q13,'Journal de bord'!K:K))</f>
        <v/>
      </c>
      <c r="S13" s="318"/>
      <c r="T13" s="9" t="str">
        <f>IF(ISBLANK(S13),"",SUMIF('Journal de bord'!N:N,S13,'Journal de bord'!K:K))</f>
        <v/>
      </c>
    </row>
    <row r="14" spans="1:20" x14ac:dyDescent="0.2">
      <c r="A14" s="318"/>
      <c r="B14" s="11" t="str">
        <f>IF(ISBLANK(A14),"",SUMIF('Journal de bord'!N:N,A14,'Journal de bord'!K:K))</f>
        <v/>
      </c>
      <c r="C14" s="318"/>
      <c r="D14" s="9" t="str">
        <f>IF(ISBLANK(C14),"",SUMIF('Journal de bord'!N:N,C14,'Journal de bord'!K:K))</f>
        <v/>
      </c>
      <c r="E14" s="318" t="s">
        <v>248</v>
      </c>
      <c r="F14" s="9">
        <f>IF(ISBLANK(E14),"",SUMIF('Journal de bord'!N:N,E14,'Journal de bord'!K:K))</f>
        <v>0</v>
      </c>
      <c r="G14" s="318"/>
      <c r="H14" s="9" t="str">
        <f>IF(ISBLANK(G14),"",SUMIF('Journal de bord'!N:N,G14,'Journal de bord'!K:K))</f>
        <v/>
      </c>
      <c r="I14" s="318"/>
      <c r="J14" s="9" t="str">
        <f>IF(ISBLANK(I14),"",SUMIF('Journal de bord'!N:N,I14,'Journal de bord'!K:K))</f>
        <v/>
      </c>
      <c r="K14" s="318"/>
      <c r="L14" s="9" t="str">
        <f>IF(ISBLANK(K14),"",SUMIF('Journal de bord'!N:N,K14,'Journal de bord'!K:K))</f>
        <v/>
      </c>
      <c r="M14" s="318"/>
      <c r="N14" s="9" t="str">
        <f>IF(ISBLANK(M14),"",SUMIF('Journal de bord'!N:N,M14,'Journal de bord'!K:K))</f>
        <v/>
      </c>
      <c r="O14" s="318"/>
      <c r="P14" s="9" t="str">
        <f>IF(ISBLANK(O14),"",SUMIF('Journal de bord'!N:N,O14,'Journal de bord'!K:K))</f>
        <v/>
      </c>
      <c r="Q14" s="318"/>
      <c r="R14" s="9" t="str">
        <f>IF(ISBLANK(Q14),"",SUMIF('Journal de bord'!N:N,Q14,'Journal de bord'!K:K))</f>
        <v/>
      </c>
      <c r="S14" s="318"/>
      <c r="T14" s="9" t="str">
        <f>IF(ISBLANK(S14),"",SUMIF('Journal de bord'!N:N,S14,'Journal de bord'!K:K))</f>
        <v/>
      </c>
    </row>
    <row r="15" spans="1:20" x14ac:dyDescent="0.2">
      <c r="A15" s="318"/>
      <c r="B15" s="11" t="str">
        <f>IF(ISBLANK(A15),"",SUMIF('Journal de bord'!N:N,A15,'Journal de bord'!K:K))</f>
        <v/>
      </c>
      <c r="C15" s="318"/>
      <c r="D15" s="9" t="str">
        <f>IF(ISBLANK(C15),"",SUMIF('Journal de bord'!N:N,C15,'Journal de bord'!K:K))</f>
        <v/>
      </c>
      <c r="E15" s="318" t="s">
        <v>249</v>
      </c>
      <c r="F15" s="9">
        <f>IF(ISBLANK(E15),"",SUMIF('Journal de bord'!N:N,E15,'Journal de bord'!K:K))</f>
        <v>0</v>
      </c>
      <c r="G15" s="318"/>
      <c r="H15" s="9" t="str">
        <f>IF(ISBLANK(G15),"",SUMIF('Journal de bord'!N:N,G15,'Journal de bord'!K:K))</f>
        <v/>
      </c>
      <c r="I15" s="318"/>
      <c r="J15" s="9" t="str">
        <f>IF(ISBLANK(I15),"",SUMIF('Journal de bord'!N:N,I15,'Journal de bord'!K:K))</f>
        <v/>
      </c>
      <c r="K15" s="318"/>
      <c r="L15" s="9" t="str">
        <f>IF(ISBLANK(K15),"",SUMIF('Journal de bord'!N:N,K15,'Journal de bord'!K:K))</f>
        <v/>
      </c>
      <c r="M15" s="318"/>
      <c r="N15" s="9" t="str">
        <f>IF(ISBLANK(M15),"",SUMIF('Journal de bord'!N:N,M15,'Journal de bord'!K:K))</f>
        <v/>
      </c>
      <c r="O15" s="318"/>
      <c r="P15" s="9" t="str">
        <f>IF(ISBLANK(O15),"",SUMIF('Journal de bord'!N:N,O15,'Journal de bord'!K:K))</f>
        <v/>
      </c>
      <c r="Q15" s="318"/>
      <c r="R15" s="9" t="str">
        <f>IF(ISBLANK(Q15),"",SUMIF('Journal de bord'!N:N,Q15,'Journal de bord'!K:K))</f>
        <v/>
      </c>
      <c r="S15" s="318"/>
      <c r="T15" s="9" t="str">
        <f>IF(ISBLANK(S15),"",SUMIF('Journal de bord'!N:N,S15,'Journal de bord'!K:K))</f>
        <v/>
      </c>
    </row>
    <row r="16" spans="1:20" x14ac:dyDescent="0.2">
      <c r="A16" s="318"/>
      <c r="B16" s="11" t="str">
        <f>IF(ISBLANK(A16),"",SUMIF('Journal de bord'!N:N,A16,'Journal de bord'!K:K))</f>
        <v/>
      </c>
      <c r="C16" s="318"/>
      <c r="D16" s="9" t="str">
        <f>IF(ISBLANK(C16),"",SUMIF('Journal de bord'!N:N,C16,'Journal de bord'!K:K))</f>
        <v/>
      </c>
      <c r="E16" s="318" t="s">
        <v>250</v>
      </c>
      <c r="F16" s="9">
        <f>IF(ISBLANK(E16),"",SUMIF('Journal de bord'!N:N,E16,'Journal de bord'!K:K))</f>
        <v>0</v>
      </c>
      <c r="G16" s="318"/>
      <c r="H16" s="9" t="str">
        <f>IF(ISBLANK(G16),"",SUMIF('Journal de bord'!N:N,G16,'Journal de bord'!K:K))</f>
        <v/>
      </c>
      <c r="I16" s="318"/>
      <c r="J16" s="9" t="str">
        <f>IF(ISBLANK(I16),"",SUMIF('Journal de bord'!N:N,I16,'Journal de bord'!K:K))</f>
        <v/>
      </c>
      <c r="K16" s="318"/>
      <c r="L16" s="9" t="str">
        <f>IF(ISBLANK(K16),"",SUMIF('Journal de bord'!N:N,K16,'Journal de bord'!K:K))</f>
        <v/>
      </c>
      <c r="M16" s="318"/>
      <c r="N16" s="9" t="str">
        <f>IF(ISBLANK(M16),"",SUMIF('Journal de bord'!N:N,M16,'Journal de bord'!K:K))</f>
        <v/>
      </c>
      <c r="O16" s="318"/>
      <c r="P16" s="9" t="str">
        <f>IF(ISBLANK(O16),"",SUMIF('Journal de bord'!N:N,O16,'Journal de bord'!K:K))</f>
        <v/>
      </c>
      <c r="Q16" s="318"/>
      <c r="R16" s="9" t="str">
        <f>IF(ISBLANK(Q16),"",SUMIF('Journal de bord'!N:N,Q16,'Journal de bord'!K:K))</f>
        <v/>
      </c>
      <c r="S16" s="318"/>
      <c r="T16" s="9" t="str">
        <f>IF(ISBLANK(S16),"",SUMIF('Journal de bord'!N:N,S16,'Journal de bord'!K:K))</f>
        <v/>
      </c>
    </row>
    <row r="17" spans="1:22" x14ac:dyDescent="0.2">
      <c r="A17" s="318"/>
      <c r="B17" s="11" t="str">
        <f>IF(ISBLANK(A17),"",SUMIF('Journal de bord'!N:N,A17,'Journal de bord'!K:K))</f>
        <v/>
      </c>
      <c r="C17" s="318"/>
      <c r="D17" s="9" t="str">
        <f>IF(ISBLANK(C17),"",SUMIF('Journal de bord'!N:N,C17,'Journal de bord'!K:K))</f>
        <v/>
      </c>
      <c r="E17" s="318" t="s">
        <v>275</v>
      </c>
      <c r="F17" s="9">
        <f>IF(ISBLANK(E17),"",SUMIF('Journal de bord'!N:N,E17,'Journal de bord'!K:K))</f>
        <v>7.6388888888888895E-2</v>
      </c>
      <c r="G17" s="318"/>
      <c r="H17" s="9" t="str">
        <f>IF(ISBLANK(G17),"",SUMIF('Journal de bord'!N:N,G17,'Journal de bord'!K:K))</f>
        <v/>
      </c>
      <c r="I17" s="318"/>
      <c r="J17" s="9" t="str">
        <f>IF(ISBLANK(I17),"",SUMIF('Journal de bord'!N:N,I17,'Journal de bord'!K:K))</f>
        <v/>
      </c>
      <c r="K17" s="318"/>
      <c r="L17" s="9" t="str">
        <f>IF(ISBLANK(K17),"",SUMIF('Journal de bord'!N:N,K17,'Journal de bord'!K:K))</f>
        <v/>
      </c>
      <c r="M17" s="318"/>
      <c r="N17" s="9" t="str">
        <f>IF(ISBLANK(M17),"",SUMIF('Journal de bord'!N:N,M17,'Journal de bord'!K:K))</f>
        <v/>
      </c>
      <c r="O17" s="318"/>
      <c r="P17" s="9" t="str">
        <f>IF(ISBLANK(O17),"",SUMIF('Journal de bord'!N:N,O17,'Journal de bord'!K:K))</f>
        <v/>
      </c>
      <c r="Q17" s="318"/>
      <c r="R17" s="9" t="str">
        <f>IF(ISBLANK(Q17),"",SUMIF('Journal de bord'!N:N,Q17,'Journal de bord'!K:K))</f>
        <v/>
      </c>
      <c r="S17" s="318"/>
      <c r="T17" s="9" t="str">
        <f>IF(ISBLANK(S17),"",SUMIF('Journal de bord'!N:N,S17,'Journal de bord'!K:K))</f>
        <v/>
      </c>
    </row>
    <row r="18" spans="1:22" x14ac:dyDescent="0.2">
      <c r="A18" s="318"/>
      <c r="B18" s="11" t="str">
        <f>IF(ISBLANK(A18),"",SUMIF('Journal de bord'!N:N,A18,'Journal de bord'!K:K))</f>
        <v/>
      </c>
      <c r="C18" s="318"/>
      <c r="D18" s="9" t="str">
        <f>IF(ISBLANK(C18),"",SUMIF('Journal de bord'!N:N,C18,'Journal de bord'!K:K))</f>
        <v/>
      </c>
      <c r="E18" s="318"/>
      <c r="F18" s="9" t="str">
        <f>IF(ISBLANK(E18),"",SUMIF('Journal de bord'!N:N,E18,'Journal de bord'!K:K))</f>
        <v/>
      </c>
      <c r="G18" s="318"/>
      <c r="H18" s="9" t="str">
        <f>IF(ISBLANK(G18),"",SUMIF('Journal de bord'!N:N,G18,'Journal de bord'!K:K))</f>
        <v/>
      </c>
      <c r="I18" s="318"/>
      <c r="J18" s="9" t="str">
        <f>IF(ISBLANK(I18),"",SUMIF('Journal de bord'!N:N,I18,'Journal de bord'!K:K))</f>
        <v/>
      </c>
      <c r="K18" s="318"/>
      <c r="L18" s="9" t="str">
        <f>IF(ISBLANK(K18),"",SUMIF('Journal de bord'!N:N,K18,'Journal de bord'!K:K))</f>
        <v/>
      </c>
      <c r="M18" s="318"/>
      <c r="N18" s="9" t="str">
        <f>IF(ISBLANK(M18),"",SUMIF('Journal de bord'!N:N,M18,'Journal de bord'!K:K))</f>
        <v/>
      </c>
      <c r="O18" s="318"/>
      <c r="P18" s="9" t="str">
        <f>IF(ISBLANK(O18),"",SUMIF('Journal de bord'!N:N,O18,'Journal de bord'!K:K))</f>
        <v/>
      </c>
      <c r="Q18" s="318"/>
      <c r="R18" s="9" t="str">
        <f>IF(ISBLANK(Q18),"",SUMIF('Journal de bord'!N:N,Q18,'Journal de bord'!K:K))</f>
        <v/>
      </c>
      <c r="S18" s="318"/>
      <c r="T18" s="9" t="str">
        <f>IF(ISBLANK(S18),"",SUMIF('Journal de bord'!N:N,S18,'Journal de bord'!K:K))</f>
        <v/>
      </c>
    </row>
    <row r="19" spans="1:22" x14ac:dyDescent="0.2">
      <c r="A19" s="318"/>
      <c r="B19" s="11" t="str">
        <f>IF(ISBLANK(A19),"",SUMIF('Journal de bord'!N:N,A19,'Journal de bord'!K:K))</f>
        <v/>
      </c>
      <c r="C19" s="318"/>
      <c r="D19" s="9" t="str">
        <f>IF(ISBLANK(C19),"",SUMIF('Journal de bord'!N:N,C19,'Journal de bord'!K:K))</f>
        <v/>
      </c>
      <c r="E19" s="318"/>
      <c r="F19" s="9" t="str">
        <f>IF(ISBLANK(E19),"",SUMIF('Journal de bord'!N:N,E19,'Journal de bord'!K:K))</f>
        <v/>
      </c>
      <c r="G19" s="318"/>
      <c r="H19" s="9" t="str">
        <f>IF(ISBLANK(G19),"",SUMIF('Journal de bord'!N:N,G19,'Journal de bord'!K:K))</f>
        <v/>
      </c>
      <c r="I19" s="318"/>
      <c r="J19" s="9" t="str">
        <f>IF(ISBLANK(I19),"",SUMIF('Journal de bord'!N:N,I19,'Journal de bord'!K:K))</f>
        <v/>
      </c>
      <c r="K19" s="318"/>
      <c r="L19" s="9" t="str">
        <f>IF(ISBLANK(K19),"",SUMIF('Journal de bord'!N:N,K19,'Journal de bord'!K:K))</f>
        <v/>
      </c>
      <c r="M19" s="318"/>
      <c r="N19" s="9" t="str">
        <f>IF(ISBLANK(M19),"",SUMIF('Journal de bord'!N:N,M19,'Journal de bord'!K:K))</f>
        <v/>
      </c>
      <c r="O19" s="318"/>
      <c r="P19" s="9" t="str">
        <f>IF(ISBLANK(O19),"",SUMIF('Journal de bord'!N:N,O19,'Journal de bord'!K:K))</f>
        <v/>
      </c>
      <c r="Q19" s="318"/>
      <c r="R19" s="9" t="str">
        <f>IF(ISBLANK(Q19),"",SUMIF('Journal de bord'!N:N,Q19,'Journal de bord'!K:K))</f>
        <v/>
      </c>
      <c r="S19" s="318"/>
      <c r="T19" s="9" t="str">
        <f>IF(ISBLANK(S19),"",SUMIF('Journal de bord'!N:N,S19,'Journal de bord'!K:K))</f>
        <v/>
      </c>
    </row>
    <row r="20" spans="1:22" x14ac:dyDescent="0.2">
      <c r="A20" s="318"/>
      <c r="B20" s="11" t="str">
        <f>IF(ISBLANK(A20),"",SUMIF('Journal de bord'!N:N,A20,'Journal de bord'!K:K))</f>
        <v/>
      </c>
      <c r="C20" s="318"/>
      <c r="D20" s="9" t="str">
        <f>IF(ISBLANK(C20),"",SUMIF('Journal de bord'!N:N,C20,'Journal de bord'!K:K))</f>
        <v/>
      </c>
      <c r="E20" s="318"/>
      <c r="F20" s="9" t="str">
        <f>IF(ISBLANK(E20),"",SUMIF('Journal de bord'!N:N,E20,'Journal de bord'!K:K))</f>
        <v/>
      </c>
      <c r="G20" s="318"/>
      <c r="H20" s="9" t="str">
        <f>IF(ISBLANK(G20),"",SUMIF('Journal de bord'!N:N,G20,'Journal de bord'!K:K))</f>
        <v/>
      </c>
      <c r="I20" s="318"/>
      <c r="J20" s="9" t="str">
        <f>IF(ISBLANK(I20),"",SUMIF('Journal de bord'!N:N,I20,'Journal de bord'!K:K))</f>
        <v/>
      </c>
      <c r="K20" s="318"/>
      <c r="L20" s="9" t="str">
        <f>IF(ISBLANK(K20),"",SUMIF('Journal de bord'!N:N,K20,'Journal de bord'!K:K))</f>
        <v/>
      </c>
      <c r="M20" s="318"/>
      <c r="N20" s="9" t="str">
        <f>IF(ISBLANK(M20),"",SUMIF('Journal de bord'!N:N,M20,'Journal de bord'!K:K))</f>
        <v/>
      </c>
      <c r="O20" s="318"/>
      <c r="P20" s="9" t="str">
        <f>IF(ISBLANK(O20),"",SUMIF('Journal de bord'!N:N,O20,'Journal de bord'!K:K))</f>
        <v/>
      </c>
      <c r="Q20" s="318"/>
      <c r="R20" s="9" t="str">
        <f>IF(ISBLANK(Q20),"",SUMIF('Journal de bord'!N:N,Q20,'Journal de bord'!K:K))</f>
        <v/>
      </c>
      <c r="S20" s="318"/>
      <c r="T20" s="9" t="str">
        <f>IF(ISBLANK(S20),"",SUMIF('Journal de bord'!N:N,S20,'Journal de bord'!K:K))</f>
        <v/>
      </c>
    </row>
    <row r="21" spans="1:22" ht="16" thickBot="1" x14ac:dyDescent="0.25">
      <c r="A21" s="333"/>
      <c r="B21" s="11" t="str">
        <f>IF(ISBLANK(A21),"",SUMIF('Journal de bord'!N:N,A21,'Journal de bord'!K:K))</f>
        <v/>
      </c>
      <c r="C21" s="333"/>
      <c r="D21" s="13" t="str">
        <f>IF(ISBLANK(C21),"",SUMIF('Journal de bord'!N:N,C21,'Journal de bord'!K:K))</f>
        <v/>
      </c>
      <c r="E21" s="332"/>
      <c r="F21" s="10" t="str">
        <f>IF(ISBLANK(E21),"",SUMIF('Journal de bord'!N:N,E21,'Journal de bord'!K:K))</f>
        <v/>
      </c>
      <c r="G21" s="332"/>
      <c r="H21" s="10" t="str">
        <f>IF(ISBLANK(G21),"",SUMIF('Journal de bord'!N:N,G21,'Journal de bord'!K:K))</f>
        <v/>
      </c>
      <c r="I21" s="332"/>
      <c r="J21" s="10" t="str">
        <f>IF(ISBLANK(I21),"",SUMIF('Journal de bord'!N:N,I21,'Journal de bord'!K:K))</f>
        <v/>
      </c>
      <c r="K21" s="332"/>
      <c r="L21" s="10" t="str">
        <f>IF(ISBLANK(K21),"",SUMIF('Journal de bord'!N:N,K21,'Journal de bord'!K:K))</f>
        <v/>
      </c>
      <c r="M21" s="332"/>
      <c r="N21" s="10" t="str">
        <f>IF(ISBLANK(M21),"",SUMIF('Journal de bord'!N:N,M21,'Journal de bord'!K:K))</f>
        <v/>
      </c>
      <c r="O21" s="332"/>
      <c r="P21" s="10" t="str">
        <f>IF(ISBLANK(O21),"",SUMIF('Journal de bord'!N:N,O21,'Journal de bord'!K:K))</f>
        <v/>
      </c>
      <c r="Q21" s="332"/>
      <c r="R21" s="10" t="str">
        <f>IF(ISBLANK(Q21),"",SUMIF('Journal de bord'!N:N,Q21,'Journal de bord'!K:K))</f>
        <v/>
      </c>
      <c r="S21" s="332"/>
      <c r="T21" s="10" t="str">
        <f>IF(ISBLANK(S21),"",SUMIF('Journal de bord'!N:N,S21,'Journal de bord'!K:K))</f>
        <v/>
      </c>
      <c r="U21" t="s">
        <v>97</v>
      </c>
    </row>
    <row r="22" spans="1:22" ht="16" thickBot="1" x14ac:dyDescent="0.25">
      <c r="A22" s="16" t="s">
        <v>97</v>
      </c>
      <c r="B22" s="14">
        <f>SUM(B8:B21)</f>
        <v>0.42708333333333343</v>
      </c>
      <c r="C22" s="16" t="s">
        <v>97</v>
      </c>
      <c r="D22" s="14">
        <f t="shared" ref="D22" si="0">SUM(D8:D21)</f>
        <v>0</v>
      </c>
      <c r="E22" s="16" t="s">
        <v>97</v>
      </c>
      <c r="F22" s="14">
        <f t="shared" ref="F22" si="1">SUM(F8:F21)</f>
        <v>7.6388888888888895E-2</v>
      </c>
      <c r="G22" s="16" t="s">
        <v>97</v>
      </c>
      <c r="H22" s="14">
        <f t="shared" ref="H22" si="2">SUM(H8:H21)</f>
        <v>0</v>
      </c>
      <c r="I22" s="16" t="s">
        <v>97</v>
      </c>
      <c r="J22" s="14">
        <f t="shared" ref="J22" si="3">SUM(J8:J21)</f>
        <v>0</v>
      </c>
      <c r="K22" s="16" t="s">
        <v>97</v>
      </c>
      <c r="L22" s="14">
        <f t="shared" ref="L22" si="4">SUM(L8:L21)</f>
        <v>0</v>
      </c>
      <c r="M22" s="16" t="s">
        <v>97</v>
      </c>
      <c r="N22" s="14">
        <f t="shared" ref="N22" si="5">SUM(N8:N21)</f>
        <v>0</v>
      </c>
      <c r="O22" s="16" t="s">
        <v>97</v>
      </c>
      <c r="P22" s="14">
        <f t="shared" ref="P22" si="6">SUM(P8:P21)</f>
        <v>0</v>
      </c>
      <c r="Q22" s="16" t="s">
        <v>97</v>
      </c>
      <c r="R22" s="14">
        <f t="shared" ref="R22" si="7">SUM(R8:R21)</f>
        <v>0</v>
      </c>
      <c r="S22" s="16" t="s">
        <v>97</v>
      </c>
      <c r="T22" s="15">
        <f t="shared" ref="T22" si="8">SUM(T8:T21)</f>
        <v>0</v>
      </c>
      <c r="U22" s="82">
        <f t="shared" ref="U22" si="9">SUM(B22:T22)</f>
        <v>0.50347222222222232</v>
      </c>
      <c r="V22" t="s">
        <v>175</v>
      </c>
    </row>
    <row r="23" spans="1:22" s="80" customFormat="1" ht="16" thickBot="1" x14ac:dyDescent="0.25">
      <c r="A23" s="78" t="str">
        <f>IF(ISBLANK(A5),"",A5)</f>
        <v>Administration</v>
      </c>
      <c r="B23" s="79">
        <f>IF(B22=0,"",B22/$I4)</f>
        <v>0.84827586206896555</v>
      </c>
      <c r="C23" s="78" t="str">
        <f>IF(ISBLANK(C5),"",C5)</f>
        <v>Design /Preview</v>
      </c>
      <c r="D23" s="79" t="str">
        <f>IF(D22=0,"",D22/$I4)</f>
        <v/>
      </c>
      <c r="E23" s="78" t="str">
        <f>IF(ISBLANK(E5),"",E5)</f>
        <v>Code</v>
      </c>
      <c r="F23" s="79">
        <f>IF(F22=0,"",F22/$I4)</f>
        <v>0.15172413793103445</v>
      </c>
      <c r="G23" s="78" t="str">
        <f>IF(ISBLANK(G5),"",G5)</f>
        <v>Base de données</v>
      </c>
      <c r="H23" s="79" t="str">
        <f>IF(H22=0,"",H22/$I4)</f>
        <v/>
      </c>
      <c r="I23" s="78" t="str">
        <f>IF(ISBLANK(I5),"",I5)</f>
        <v>Rendu au client</v>
      </c>
      <c r="J23" s="79" t="str">
        <f>IF(J22=0,"",J22/$I4)</f>
        <v/>
      </c>
      <c r="K23" s="78" t="str">
        <f>IF(ISBLANK(K5),"",K5)</f>
        <v>Achevement</v>
      </c>
      <c r="L23" s="79" t="str">
        <f>IF(L22=0,"",L22/$I4)</f>
        <v/>
      </c>
      <c r="M23" s="78" t="str">
        <f>IF(ISBLANK(M5),"",M5)</f>
        <v/>
      </c>
      <c r="N23" s="79" t="str">
        <f>IF(N22=0,"",N22/$I4)</f>
        <v/>
      </c>
      <c r="O23" s="78" t="str">
        <f>IF(ISBLANK(O5),"",O5)</f>
        <v/>
      </c>
      <c r="P23" s="79" t="str">
        <f>IF(P22=0,"",P22/$I4)</f>
        <v/>
      </c>
      <c r="Q23" s="78" t="str">
        <f>IF(ISBLANK(Q5),"",Q5)</f>
        <v/>
      </c>
      <c r="R23" s="79" t="str">
        <f>IF(R22=0,"",R22/$I4)</f>
        <v/>
      </c>
      <c r="S23" s="78" t="str">
        <f>IF(ISBLANK(S5),"",S5)</f>
        <v/>
      </c>
      <c r="T23" s="79" t="str">
        <f>IF(T22=0,"",T22/$I4)</f>
        <v/>
      </c>
      <c r="U23" s="82"/>
    </row>
    <row r="24" spans="1:22" ht="16" thickBot="1" x14ac:dyDescent="0.25">
      <c r="A24" t="s">
        <v>176</v>
      </c>
      <c r="B24" s="334"/>
      <c r="C24" s="19"/>
      <c r="D24" s="334"/>
      <c r="F24" s="334"/>
      <c r="H24" s="334"/>
      <c r="J24" s="334"/>
      <c r="L24" s="334"/>
      <c r="N24" s="334"/>
      <c r="P24" s="334"/>
      <c r="R24" s="334"/>
      <c r="T24" s="334"/>
      <c r="U24" s="82">
        <f>SUM(B24:T24)</f>
        <v>0</v>
      </c>
      <c r="V24" t="s">
        <v>177</v>
      </c>
    </row>
    <row r="25" spans="1:22" ht="16" thickBot="1" x14ac:dyDescent="0.25">
      <c r="A25" t="s">
        <v>178</v>
      </c>
      <c r="B25" s="189"/>
      <c r="D25" s="190"/>
      <c r="F25" s="190"/>
      <c r="H25" s="190"/>
      <c r="J25" s="190"/>
      <c r="L25" s="190"/>
      <c r="N25" s="190"/>
      <c r="P25" s="190"/>
      <c r="R25" s="190"/>
      <c r="T25" s="190"/>
      <c r="U25" s="190"/>
    </row>
    <row r="26" spans="1:22" ht="16" thickBot="1" x14ac:dyDescent="0.25">
      <c r="A26" t="s">
        <v>179</v>
      </c>
      <c r="B26" s="81">
        <f>IF(B22&gt;B24,B22-B24,"")</f>
        <v>0.42708333333333343</v>
      </c>
      <c r="D26" s="81" t="str">
        <f>IF(D22&gt;D24,D22-D24,"")</f>
        <v/>
      </c>
      <c r="F26" s="81">
        <f>IF(F22&gt;F24,F22-F24,"")</f>
        <v>7.6388888888888895E-2</v>
      </c>
      <c r="H26" s="81" t="str">
        <f>IF(H22&gt;H24,H22-H24,"")</f>
        <v/>
      </c>
      <c r="J26" s="81" t="str">
        <f>IF(J22&gt;J24,J22-J24,"")</f>
        <v/>
      </c>
      <c r="L26" s="81" t="str">
        <f>IF(L22&gt;L24,L22-L24,"")</f>
        <v/>
      </c>
      <c r="N26" s="81" t="str">
        <f>IF(N22&gt;N24,N22-N24,"")</f>
        <v/>
      </c>
      <c r="P26" s="81" t="str">
        <f>IF(P22&gt;P24,P22-P24,"")</f>
        <v/>
      </c>
      <c r="R26" s="81" t="str">
        <f>IF(R22&gt;R24,R22-R24,"")</f>
        <v/>
      </c>
      <c r="T26" s="81" t="str">
        <f>IF(T22&gt;T24,T22-T24,"")</f>
        <v/>
      </c>
      <c r="U26" s="82">
        <f>SUM(B26:T26)</f>
        <v>0.50347222222222232</v>
      </c>
    </row>
    <row r="27" spans="1:22" ht="16" thickBot="1" x14ac:dyDescent="0.25">
      <c r="A27" t="s">
        <v>180</v>
      </c>
      <c r="B27" s="81" t="str">
        <f>IF(AND(B22=0,B24=0),"",IF(B22&lt;B24,B24-B22,""))</f>
        <v/>
      </c>
      <c r="D27" s="81" t="str">
        <f>IF(AND(D22=0,D24=0),"",IF(D22&lt;D24,D24-D22,""))</f>
        <v/>
      </c>
      <c r="F27" s="81" t="str">
        <f>IF(AND(F22=0,F24=0),"",IF(F22&lt;F24,F24-F22,""))</f>
        <v/>
      </c>
      <c r="H27" s="81" t="str">
        <f>IF(AND(H22=0,H24=0),"",IF(H22&lt;H24,H24-H22,""))</f>
        <v/>
      </c>
      <c r="J27" s="81" t="str">
        <f>IF(AND(J22=0,J24=0),"",IF(J22&lt;J24,J24-J22,""))</f>
        <v/>
      </c>
      <c r="L27" s="81" t="str">
        <f>IF(AND(L22=0,L24=0),"",IF(L22&lt;L24,L24-L22,""))</f>
        <v/>
      </c>
      <c r="N27" s="81" t="str">
        <f>IF(AND(N22=0,N24=0),"",IF(N22&lt;N24,N24-N22,""))</f>
        <v/>
      </c>
      <c r="P27" s="81" t="str">
        <f>IF(AND(P22=0,P24=0),"",IF(P22&lt;P24,P24-P22,""))</f>
        <v/>
      </c>
      <c r="R27" s="81" t="str">
        <f>IF(AND(R22=0,R24=0),"",IF(R22&lt;R24,R24-R22,""))</f>
        <v/>
      </c>
      <c r="T27" s="81" t="str">
        <f>IF(AND(T22=0,T24=0),"",IF(T22&lt;T24,T24-T22,""))</f>
        <v/>
      </c>
      <c r="U27" s="83">
        <f>SUM(B27:T27)</f>
        <v>0</v>
      </c>
    </row>
    <row r="28" spans="1:22" ht="16" thickBot="1" x14ac:dyDescent="0.25"/>
    <row r="29" spans="1:22" ht="16" thickBot="1" x14ac:dyDescent="0.25">
      <c r="A29" t="s">
        <v>181</v>
      </c>
      <c r="C29" s="84" t="s">
        <v>179</v>
      </c>
      <c r="D29" s="85">
        <f>IF(U22&gt;U24,U22-U24,"")</f>
        <v>0.50347222222222232</v>
      </c>
      <c r="E29" s="84" t="s">
        <v>180</v>
      </c>
      <c r="F29" s="86" t="str">
        <f>IF(U22&lt;U24,U24-U22,"")</f>
        <v/>
      </c>
    </row>
    <row r="30" spans="1:22" x14ac:dyDescent="0.2">
      <c r="C30" s="7"/>
      <c r="E30" s="7"/>
    </row>
    <row r="31" spans="1:22" ht="16" thickBot="1" x14ac:dyDescent="0.25"/>
    <row r="32" spans="1:22" x14ac:dyDescent="0.2">
      <c r="A32" s="70" t="str">
        <f>A23</f>
        <v>Administration</v>
      </c>
      <c r="B32" s="71">
        <f>B23</f>
        <v>0.84827586206896555</v>
      </c>
    </row>
    <row r="33" spans="1:2" x14ac:dyDescent="0.2">
      <c r="A33" s="72" t="str">
        <f>C23</f>
        <v>Design /Preview</v>
      </c>
      <c r="B33" s="73" t="str">
        <f>D23</f>
        <v/>
      </c>
    </row>
    <row r="34" spans="1:2" x14ac:dyDescent="0.2">
      <c r="A34" s="49" t="str">
        <f>E23</f>
        <v>Code</v>
      </c>
      <c r="B34" s="73">
        <f>F23</f>
        <v>0.15172413793103445</v>
      </c>
    </row>
    <row r="35" spans="1:2" x14ac:dyDescent="0.2">
      <c r="A35" s="49" t="str">
        <f>G23</f>
        <v>Base de données</v>
      </c>
      <c r="B35" s="73" t="str">
        <f>H23</f>
        <v/>
      </c>
    </row>
    <row r="36" spans="1:2" x14ac:dyDescent="0.2">
      <c r="A36" s="49" t="str">
        <f>I23</f>
        <v>Rendu au client</v>
      </c>
      <c r="B36" s="73" t="str">
        <f>J23</f>
        <v/>
      </c>
    </row>
    <row r="37" spans="1:2" x14ac:dyDescent="0.2">
      <c r="A37" s="49" t="str">
        <f>K23</f>
        <v>Achevement</v>
      </c>
      <c r="B37" s="73" t="str">
        <f>L23</f>
        <v/>
      </c>
    </row>
    <row r="38" spans="1:2" x14ac:dyDescent="0.2">
      <c r="A38" s="49" t="str">
        <f>M23</f>
        <v/>
      </c>
      <c r="B38" s="73" t="str">
        <f>N23</f>
        <v/>
      </c>
    </row>
    <row r="39" spans="1:2" x14ac:dyDescent="0.2">
      <c r="A39" s="49" t="str">
        <f>O23</f>
        <v/>
      </c>
      <c r="B39" s="73" t="str">
        <f>P23</f>
        <v/>
      </c>
    </row>
    <row r="40" spans="1:2" x14ac:dyDescent="0.2">
      <c r="A40" s="49" t="str">
        <f>Q23</f>
        <v/>
      </c>
      <c r="B40" s="73" t="str">
        <f>R23</f>
        <v/>
      </c>
    </row>
    <row r="41" spans="1:2" ht="16" thickBot="1" x14ac:dyDescent="0.25">
      <c r="A41" s="50" t="str">
        <f>S23</f>
        <v/>
      </c>
      <c r="B41" s="74" t="str">
        <f>T23</f>
        <v/>
      </c>
    </row>
  </sheetData>
  <sheetProtection sheet="1" formatColumns="0"/>
  <mergeCells count="10">
    <mergeCell ref="M5:N5"/>
    <mergeCell ref="O5:P5"/>
    <mergeCell ref="Q5:R5"/>
    <mergeCell ref="S5:T5"/>
    <mergeCell ref="A5:B5"/>
    <mergeCell ref="C5:D5"/>
    <mergeCell ref="E5:F5"/>
    <mergeCell ref="G5:H5"/>
    <mergeCell ref="I5:J5"/>
    <mergeCell ref="K5:L5"/>
  </mergeCells>
  <phoneticPr fontId="3" type="noConversion"/>
  <conditionalFormatting sqref="B27:U27">
    <cfRule type="notContainsBlanks" dxfId="5" priority="4">
      <formula>LEN(TRIM(B27))&gt;0</formula>
    </cfRule>
  </conditionalFormatting>
  <conditionalFormatting sqref="C29:D29">
    <cfRule type="expression" dxfId="4" priority="8">
      <formula>$U$22&gt;$U$24</formula>
    </cfRule>
  </conditionalFormatting>
  <conditionalFormatting sqref="E29:F29">
    <cfRule type="expression" dxfId="3" priority="9">
      <formula>$U$22&lt;$U$24</formula>
    </cfRule>
  </conditionalFormatting>
  <conditionalFormatting sqref="S25 B26:U26">
    <cfRule type="notContainsBlanks" dxfId="0" priority="5">
      <formula>LEN(TRIM(B25))&gt;0</formula>
    </cfRule>
  </conditionalFormatting>
  <pageMargins left="0.70866141732283472" right="0.70866141732283472" top="0.94488188976377963" bottom="0.74803149606299213" header="0.31496062992125984" footer="0.31496062992125984"/>
  <pageSetup paperSize="9" orientation="portrait" horizontalDpi="1200" verticalDpi="1200" r:id="rId1"/>
  <headerFooter>
    <oddHeader>&amp;L&amp;G</oddHeader>
  </headerFooter>
  <drawing r:id="rId2"/>
  <extLst>
    <ext xmlns:x14="http://schemas.microsoft.com/office/spreadsheetml/2009/9/main" uri="{78C0D931-6437-407d-A8EE-F0AAD7539E65}">
      <x14:conditionalFormattings>
        <x14:conditionalFormatting xmlns:xm="http://schemas.microsoft.com/office/excel/2006/main">
          <x14:cfRule type="expression" priority="1" id="{059C4E49-2013-4443-A69B-1BDCF1D3BA72}">
            <xm:f>$I$4='Journal de bord'!$L$2</xm:f>
            <x14:dxf>
              <font>
                <b/>
                <i val="0"/>
                <color theme="0"/>
              </font>
              <fill>
                <patternFill>
                  <bgColor rgb="FF00B050"/>
                </patternFill>
              </fill>
            </x14:dxf>
          </x14:cfRule>
          <x14:cfRule type="expression" priority="2" id="{9F37BAFD-61F2-479B-981D-9FBF9020261D}">
            <xm:f>$I$4&lt;&gt;'Journal de bord'!$L$2</xm:f>
            <x14:dxf>
              <font>
                <b/>
                <i val="0"/>
                <color theme="0"/>
              </font>
              <fill>
                <patternFill>
                  <bgColor rgb="FFFF0000"/>
                </patternFill>
              </fill>
            </x14:dxf>
          </x14:cfRule>
          <xm:sqref>K4:M4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B8CE-E487-4176-8832-DA93D61BBAB6}">
  <sheetPr>
    <tabColor rgb="FFFF0000"/>
  </sheetPr>
  <dimension ref="A1:G32"/>
  <sheetViews>
    <sheetView workbookViewId="0">
      <selection activeCell="G2" sqref="G2"/>
    </sheetView>
  </sheetViews>
  <sheetFormatPr baseColWidth="10" defaultColWidth="11.5" defaultRowHeight="15" x14ac:dyDescent="0.2"/>
  <cols>
    <col min="1" max="1" width="39.33203125" bestFit="1" customWidth="1"/>
  </cols>
  <sheetData>
    <row r="1" spans="1:7" ht="26" x14ac:dyDescent="0.3">
      <c r="A1" s="4" t="s">
        <v>182</v>
      </c>
    </row>
    <row r="2" spans="1:7" x14ac:dyDescent="0.2">
      <c r="A2" s="20" t="s">
        <v>183</v>
      </c>
      <c r="G2" s="122"/>
    </row>
    <row r="3" spans="1:7" x14ac:dyDescent="0.2">
      <c r="A3" t="s">
        <v>184</v>
      </c>
      <c r="B3" t="s">
        <v>185</v>
      </c>
      <c r="G3" s="123"/>
    </row>
    <row r="4" spans="1:7" x14ac:dyDescent="0.2">
      <c r="A4" t="s">
        <v>186</v>
      </c>
      <c r="B4" t="s">
        <v>187</v>
      </c>
    </row>
    <row r="5" spans="1:7" x14ac:dyDescent="0.2">
      <c r="A5" t="s">
        <v>188</v>
      </c>
      <c r="B5" t="s">
        <v>189</v>
      </c>
    </row>
    <row r="6" spans="1:7" x14ac:dyDescent="0.2">
      <c r="A6" t="s">
        <v>190</v>
      </c>
      <c r="B6" t="s">
        <v>191</v>
      </c>
    </row>
    <row r="8" spans="1:7" x14ac:dyDescent="0.2">
      <c r="A8" s="20" t="s">
        <v>192</v>
      </c>
    </row>
    <row r="9" spans="1:7" x14ac:dyDescent="0.2">
      <c r="A9" t="s">
        <v>193</v>
      </c>
    </row>
    <row r="10" spans="1:7" x14ac:dyDescent="0.2">
      <c r="A10" s="75" t="s">
        <v>80</v>
      </c>
    </row>
    <row r="11" spans="1:7" x14ac:dyDescent="0.2">
      <c r="A11" s="75"/>
    </row>
    <row r="12" spans="1:7" x14ac:dyDescent="0.2">
      <c r="A12" s="20" t="s">
        <v>194</v>
      </c>
    </row>
    <row r="13" spans="1:7" x14ac:dyDescent="0.2">
      <c r="A13" s="23" t="s">
        <v>195</v>
      </c>
    </row>
    <row r="14" spans="1:7" x14ac:dyDescent="0.2">
      <c r="A14" s="23" t="s">
        <v>196</v>
      </c>
    </row>
    <row r="15" spans="1:7" x14ac:dyDescent="0.2">
      <c r="A15" s="23" t="s">
        <v>197</v>
      </c>
    </row>
    <row r="16" spans="1:7" x14ac:dyDescent="0.2">
      <c r="A16" s="23" t="s">
        <v>198</v>
      </c>
    </row>
    <row r="18" spans="1:1" x14ac:dyDescent="0.2">
      <c r="A18" s="20" t="s">
        <v>199</v>
      </c>
    </row>
    <row r="19" spans="1:1" x14ac:dyDescent="0.2">
      <c r="A19" t="s">
        <v>200</v>
      </c>
    </row>
    <row r="20" spans="1:1" x14ac:dyDescent="0.2">
      <c r="A20" t="s">
        <v>201</v>
      </c>
    </row>
    <row r="21" spans="1:1" x14ac:dyDescent="0.2">
      <c r="A21" s="105" t="s">
        <v>202</v>
      </c>
    </row>
    <row r="22" spans="1:1" x14ac:dyDescent="0.2">
      <c r="A22" s="105"/>
    </row>
    <row r="23" spans="1:1" x14ac:dyDescent="0.2">
      <c r="A23" s="20" t="s">
        <v>203</v>
      </c>
    </row>
    <row r="24" spans="1:1" x14ac:dyDescent="0.2">
      <c r="A24" t="s">
        <v>204</v>
      </c>
    </row>
    <row r="25" spans="1:1" x14ac:dyDescent="0.2">
      <c r="A25" t="s">
        <v>205</v>
      </c>
    </row>
    <row r="26" spans="1:1" x14ac:dyDescent="0.2">
      <c r="A26" t="s">
        <v>206</v>
      </c>
    </row>
    <row r="27" spans="1:1" x14ac:dyDescent="0.2">
      <c r="A27" t="s">
        <v>207</v>
      </c>
    </row>
    <row r="28" spans="1:1" x14ac:dyDescent="0.2">
      <c r="A28" t="s">
        <v>208</v>
      </c>
    </row>
    <row r="29" spans="1:1" x14ac:dyDescent="0.2">
      <c r="A29" s="76" t="s">
        <v>209</v>
      </c>
    </row>
    <row r="31" spans="1:1" x14ac:dyDescent="0.2">
      <c r="A31" s="20" t="s">
        <v>210</v>
      </c>
    </row>
    <row r="32" spans="1:1" x14ac:dyDescent="0.2">
      <c r="A32" t="s">
        <v>211</v>
      </c>
    </row>
  </sheetData>
  <hyperlinks>
    <hyperlink ref="A29" r:id="rId1" xr:uid="{59CE0AC0-A7E7-424E-90B7-9DE79969BE7A}"/>
  </hyperlinks>
  <pageMargins left="0.70866141732283472" right="0.70866141732283472" top="0.94488188976377963" bottom="0.74803149606299213" header="0.31496062992125984" footer="0.31496062992125984"/>
  <pageSetup paperSize="9" orientation="portrait" horizontalDpi="1200" verticalDpi="1200" r:id="rId2"/>
  <headerFooter>
    <oddHeader>&amp;L&amp;G</oddHeader>
  </headerFooter>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2F46E-A3AA-40F6-B44B-994345D31418}">
  <dimension ref="D3"/>
  <sheetViews>
    <sheetView workbookViewId="0"/>
  </sheetViews>
  <sheetFormatPr baseColWidth="10" defaultColWidth="11.5" defaultRowHeight="15" x14ac:dyDescent="0.2"/>
  <sheetData>
    <row r="3" spans="4:4" ht="31" x14ac:dyDescent="0.35">
      <c r="D3" s="281" t="s">
        <v>212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C4EC33272888438EF03C347CBC4CB7" ma:contentTypeVersion="11" ma:contentTypeDescription="Crée un document." ma:contentTypeScope="" ma:versionID="2073dadaf97adf825068798ae6f37fc6">
  <xsd:schema xmlns:xsd="http://www.w3.org/2001/XMLSchema" xmlns:xs="http://www.w3.org/2001/XMLSchema" xmlns:p="http://schemas.microsoft.com/office/2006/metadata/properties" xmlns:ns2="ae7e04d0-6b12-4d3b-9f8a-75c44f8e1194" targetNamespace="http://schemas.microsoft.com/office/2006/metadata/properties" ma:root="true" ma:fieldsID="a520961d0fbcfb65403c33e2efd42a1a" ns2:_="">
    <xsd:import namespace="ae7e04d0-6b12-4d3b-9f8a-75c44f8e11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7e04d0-6b12-4d3b-9f8a-75c44f8e11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e7e04d0-6b12-4d3b-9f8a-75c44f8e119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DD2232-303F-4087-A55A-BEC9780E5B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7e04d0-6b12-4d3b-9f8a-75c44f8e11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954475-C7B7-4EFD-A780-F74990CA5D07}">
  <ds:schemaRefs>
    <ds:schemaRef ds:uri="http://schemas.microsoft.com/sharepoint/v3/contenttype/forms"/>
  </ds:schemaRefs>
</ds:datastoreItem>
</file>

<file path=customXml/itemProps3.xml><?xml version="1.0" encoding="utf-8"?>
<ds:datastoreItem xmlns:ds="http://schemas.openxmlformats.org/officeDocument/2006/customXml" ds:itemID="{2C59968C-958F-420F-B3BD-87D94183B77C}">
  <ds:schemaRefs>
    <ds:schemaRef ds:uri="http://purl.org/dc/elements/1.1/"/>
    <ds:schemaRef ds:uri="http://www.w3.org/XML/1998/namespace"/>
    <ds:schemaRef ds:uri="http://purl.org/dc/terms/"/>
    <ds:schemaRef ds:uri="http://schemas.openxmlformats.org/package/2006/metadata/core-properties"/>
    <ds:schemaRef ds:uri="ae7e04d0-6b12-4d3b-9f8a-75c44f8e1194"/>
    <ds:schemaRef ds:uri="http://schemas.microsoft.com/office/2006/documentManagement/types"/>
    <ds:schemaRef ds:uri="http://purl.org/dc/dcmitype/"/>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8</vt:i4>
      </vt:variant>
      <vt:variant>
        <vt:lpstr>Plages nommées</vt:lpstr>
      </vt:variant>
      <vt:variant>
        <vt:i4>22</vt:i4>
      </vt:variant>
    </vt:vector>
  </HeadingPairs>
  <TitlesOfParts>
    <vt:vector size="30" baseType="lpstr">
      <vt:lpstr>Marche à suivre</vt:lpstr>
      <vt:lpstr>Organigramme des tâches</vt:lpstr>
      <vt:lpstr>Ressources</vt:lpstr>
      <vt:lpstr>Planning initial - 5</vt:lpstr>
      <vt:lpstr>Journal de bord</vt:lpstr>
      <vt:lpstr>Suivi</vt:lpstr>
      <vt:lpstr>Aide-astuces Excel</vt:lpstr>
      <vt:lpstr>Attention</vt:lpstr>
      <vt:lpstr>Charge_travail</vt:lpstr>
      <vt:lpstr>Creer_organi</vt:lpstr>
      <vt:lpstr>impression</vt:lpstr>
      <vt:lpstr>'Planning initial - 5'!Impression_des_titres</vt:lpstr>
      <vt:lpstr>JB</vt:lpstr>
      <vt:lpstr>Microplanning</vt:lpstr>
      <vt:lpstr>Organigramme</vt:lpstr>
      <vt:lpstr>Planning</vt:lpstr>
      <vt:lpstr>Ressources</vt:lpstr>
      <vt:lpstr>Suivi</vt:lpstr>
      <vt:lpstr>Taches_principales</vt:lpstr>
      <vt:lpstr>TP_1</vt:lpstr>
      <vt:lpstr>TP_10</vt:lpstr>
      <vt:lpstr>TP_2</vt:lpstr>
      <vt:lpstr>TP_3</vt:lpstr>
      <vt:lpstr>TP_4</vt:lpstr>
      <vt:lpstr>TP_5</vt:lpstr>
      <vt:lpstr>TP_6</vt:lpstr>
      <vt:lpstr>TP_7</vt:lpstr>
      <vt:lpstr>TP_8</vt:lpstr>
      <vt:lpstr>TP_9</vt:lpstr>
      <vt:lpstr>Vues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Jean-Michel Gschwind</dc:creator>
  <cp:keywords/>
  <dc:description/>
  <cp:lastModifiedBy>Cléo Forclaz</cp:lastModifiedBy>
  <cp:revision/>
  <dcterms:created xsi:type="dcterms:W3CDTF">2023-01-13T07:52:45Z</dcterms:created>
  <dcterms:modified xsi:type="dcterms:W3CDTF">2026-09-30T10:13:40Z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0x01010010C4EC33272888438EF03C347CBC4CB7</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MediaServiceImageTags">
    <vt:lpwstr/>
  </property>
</Properties>
</file>